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pu\Downloads\"/>
    </mc:Choice>
  </mc:AlternateContent>
  <xr:revisionPtr revIDLastSave="0" documentId="8_{9361E719-B0F3-4D39-A6FE-A37D75F3C7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1.01.2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1" l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C257" i="1"/>
  <c r="AB13" i="1"/>
  <c r="AB77" i="1"/>
  <c r="AB121" i="1"/>
  <c r="AB163" i="1"/>
  <c r="AB206" i="1"/>
  <c r="AB242" i="1"/>
  <c r="AB258" i="1"/>
  <c r="AB270" i="1"/>
  <c r="AB281" i="1"/>
  <c r="AB291" i="1"/>
  <c r="AB302" i="1"/>
  <c r="AB313" i="1"/>
  <c r="AB323" i="1"/>
  <c r="AB334" i="1"/>
  <c r="Y9" i="1"/>
  <c r="Y19" i="1"/>
  <c r="Y30" i="1"/>
  <c r="Y41" i="1"/>
  <c r="Y51" i="1"/>
  <c r="Y62" i="1"/>
  <c r="Y73" i="1"/>
  <c r="Y83" i="1"/>
  <c r="Y94" i="1"/>
  <c r="Y105" i="1"/>
  <c r="Y115" i="1"/>
  <c r="Y126" i="1"/>
  <c r="Y137" i="1"/>
  <c r="Y147" i="1"/>
  <c r="Y158" i="1"/>
  <c r="Y169" i="1"/>
  <c r="Y179" i="1"/>
  <c r="Y190" i="1"/>
  <c r="Y201" i="1"/>
  <c r="Y211" i="1"/>
  <c r="Y222" i="1"/>
  <c r="Y233" i="1"/>
  <c r="Y243" i="1"/>
  <c r="Y254" i="1"/>
  <c r="Y265" i="1"/>
  <c r="Y275" i="1"/>
  <c r="Y286" i="1"/>
  <c r="Y297" i="1"/>
  <c r="Y307" i="1"/>
  <c r="Y318" i="1"/>
  <c r="Y329" i="1"/>
  <c r="Y330" i="1"/>
  <c r="Y339" i="1"/>
  <c r="Y341" i="1"/>
  <c r="Y350" i="1"/>
  <c r="Y351" i="1"/>
  <c r="Y361" i="1"/>
  <c r="Y362" i="1"/>
  <c r="Y369" i="1"/>
  <c r="Y370" i="1"/>
  <c r="Y377" i="1"/>
  <c r="Y378" i="1"/>
  <c r="Y385" i="1"/>
  <c r="Y386" i="1"/>
  <c r="Y393" i="1"/>
  <c r="Y394" i="1"/>
  <c r="Y401" i="1"/>
  <c r="Y402" i="1"/>
  <c r="Y409" i="1"/>
  <c r="Y410" i="1"/>
  <c r="Y417" i="1"/>
  <c r="Y418" i="1"/>
  <c r="Y425" i="1"/>
  <c r="Y426" i="1"/>
  <c r="Y433" i="1"/>
  <c r="Y434" i="1"/>
  <c r="Y441" i="1"/>
  <c r="Y442" i="1"/>
  <c r="Y449" i="1"/>
  <c r="Y450" i="1"/>
  <c r="Y457" i="1"/>
  <c r="Y458" i="1"/>
  <c r="Y465" i="1"/>
  <c r="Y466" i="1"/>
  <c r="Y473" i="1"/>
  <c r="Y474" i="1"/>
  <c r="Y481" i="1"/>
  <c r="Y482" i="1"/>
  <c r="Y489" i="1"/>
  <c r="Y490" i="1"/>
  <c r="Y497" i="1"/>
  <c r="Y498" i="1"/>
  <c r="Y505" i="1"/>
  <c r="Y506" i="1"/>
  <c r="Y513" i="1"/>
  <c r="Y514" i="1"/>
  <c r="Y521" i="1"/>
  <c r="Y522" i="1"/>
  <c r="Y529" i="1"/>
  <c r="Y530" i="1"/>
  <c r="Y537" i="1"/>
  <c r="Y538" i="1"/>
  <c r="Y545" i="1"/>
  <c r="Y546" i="1"/>
  <c r="Y553" i="1"/>
  <c r="Y554" i="1"/>
  <c r="AA10" i="1"/>
  <c r="AA11" i="1"/>
  <c r="AA18" i="1"/>
  <c r="AA19" i="1"/>
  <c r="AA26" i="1"/>
  <c r="AA27" i="1"/>
  <c r="AA34" i="1"/>
  <c r="AA35" i="1"/>
  <c r="AA42" i="1"/>
  <c r="AA43" i="1"/>
  <c r="AA47" i="1"/>
  <c r="AA49" i="1"/>
  <c r="AA53" i="1"/>
  <c r="AA54" i="1"/>
  <c r="AA58" i="1"/>
  <c r="AA59" i="1"/>
  <c r="AA63" i="1"/>
  <c r="AA65" i="1"/>
  <c r="AA69" i="1"/>
  <c r="AA70" i="1"/>
  <c r="AA74" i="1"/>
  <c r="AA75" i="1"/>
  <c r="AA79" i="1"/>
  <c r="AA81" i="1"/>
  <c r="AA85" i="1"/>
  <c r="AA86" i="1"/>
  <c r="AA90" i="1"/>
  <c r="AA91" i="1"/>
  <c r="AA95" i="1"/>
  <c r="AA97" i="1"/>
  <c r="AA101" i="1"/>
  <c r="AA102" i="1"/>
  <c r="AA106" i="1"/>
  <c r="AA107" i="1"/>
  <c r="AA111" i="1"/>
  <c r="AA113" i="1"/>
  <c r="AA117" i="1"/>
  <c r="AA118" i="1"/>
  <c r="AA122" i="1"/>
  <c r="AA123" i="1"/>
  <c r="AA127" i="1"/>
  <c r="AA129" i="1"/>
  <c r="AA133" i="1"/>
  <c r="AA134" i="1"/>
  <c r="AA138" i="1"/>
  <c r="AA139" i="1"/>
  <c r="AA143" i="1"/>
  <c r="AA145" i="1"/>
  <c r="AA149" i="1"/>
  <c r="AA150" i="1"/>
  <c r="AA154" i="1"/>
  <c r="AA155" i="1"/>
  <c r="AA159" i="1"/>
  <c r="AA161" i="1"/>
  <c r="AA165" i="1"/>
  <c r="AA166" i="1"/>
  <c r="AA170" i="1"/>
  <c r="AA171" i="1"/>
  <c r="AA175" i="1"/>
  <c r="AA177" i="1"/>
  <c r="AA181" i="1"/>
  <c r="AA182" i="1"/>
  <c r="AA186" i="1"/>
  <c r="AA187" i="1"/>
  <c r="AA191" i="1"/>
  <c r="AA193" i="1"/>
  <c r="AA197" i="1"/>
  <c r="AA198" i="1"/>
  <c r="AA202" i="1"/>
  <c r="AA203" i="1"/>
  <c r="AA207" i="1"/>
  <c r="AA209" i="1"/>
  <c r="AA213" i="1"/>
  <c r="AA214" i="1"/>
  <c r="AA218" i="1"/>
  <c r="AA219" i="1"/>
  <c r="AA223" i="1"/>
  <c r="AA225" i="1"/>
  <c r="AA229" i="1"/>
  <c r="AA230" i="1"/>
  <c r="AA234" i="1"/>
  <c r="AA235" i="1"/>
  <c r="AA239" i="1"/>
  <c r="AA241" i="1"/>
  <c r="AA245" i="1"/>
  <c r="AA246" i="1"/>
  <c r="AA250" i="1"/>
  <c r="AA251" i="1"/>
  <c r="AA255" i="1"/>
  <c r="AA257" i="1"/>
  <c r="AA261" i="1"/>
  <c r="AA262" i="1"/>
  <c r="AA266" i="1"/>
  <c r="AA267" i="1"/>
  <c r="AA271" i="1"/>
  <c r="AA273" i="1"/>
  <c r="AA277" i="1"/>
  <c r="AA278" i="1"/>
  <c r="AA282" i="1"/>
  <c r="AA283" i="1"/>
  <c r="AA287" i="1"/>
  <c r="AA289" i="1"/>
  <c r="S4" i="1" a="1"/>
  <c r="X10" i="1"/>
  <c r="X18" i="1"/>
  <c r="X20" i="1"/>
  <c r="X22" i="1"/>
  <c r="X26" i="1"/>
  <c r="X34" i="1"/>
  <c r="X36" i="1"/>
  <c r="X38" i="1"/>
  <c r="X42" i="1"/>
  <c r="X50" i="1"/>
  <c r="X52" i="1"/>
  <c r="X54" i="1"/>
  <c r="X58" i="1"/>
  <c r="X66" i="1"/>
  <c r="X68" i="1"/>
  <c r="X70" i="1"/>
  <c r="X74" i="1"/>
  <c r="X82" i="1"/>
  <c r="X84" i="1"/>
  <c r="X86" i="1"/>
  <c r="X90" i="1"/>
  <c r="X98" i="1"/>
  <c r="X100" i="1"/>
  <c r="X102" i="1"/>
  <c r="X106" i="1"/>
  <c r="X114" i="1"/>
  <c r="X116" i="1"/>
  <c r="X118" i="1"/>
  <c r="X122" i="1"/>
  <c r="X130" i="1"/>
  <c r="X132" i="1"/>
  <c r="X134" i="1"/>
  <c r="X138" i="1"/>
  <c r="X146" i="1"/>
  <c r="X148" i="1"/>
  <c r="X150" i="1"/>
  <c r="X154" i="1"/>
  <c r="X162" i="1"/>
  <c r="X164" i="1"/>
  <c r="X166" i="1"/>
  <c r="X170" i="1"/>
  <c r="X174" i="1"/>
  <c r="X178" i="1"/>
  <c r="X182" i="1"/>
  <c r="X186" i="1"/>
  <c r="X190" i="1"/>
  <c r="X194" i="1"/>
  <c r="X198" i="1"/>
  <c r="X202" i="1"/>
  <c r="X206" i="1"/>
  <c r="X210" i="1"/>
  <c r="X214" i="1"/>
  <c r="X218" i="1"/>
  <c r="X222" i="1"/>
  <c r="X226" i="1"/>
  <c r="X230" i="1"/>
  <c r="X234" i="1"/>
  <c r="X238" i="1"/>
  <c r="X242" i="1"/>
  <c r="X246" i="1"/>
  <c r="X250" i="1"/>
  <c r="X254" i="1"/>
  <c r="X258" i="1"/>
  <c r="X262" i="1"/>
  <c r="X266" i="1"/>
  <c r="X270" i="1"/>
  <c r="X274" i="1"/>
  <c r="X278" i="1"/>
  <c r="X282" i="1"/>
  <c r="X286" i="1"/>
  <c r="X290" i="1"/>
  <c r="X294" i="1"/>
  <c r="X298" i="1"/>
  <c r="X302" i="1"/>
  <c r="X306" i="1"/>
  <c r="X310" i="1"/>
  <c r="X314" i="1"/>
  <c r="X318" i="1"/>
  <c r="X322" i="1"/>
  <c r="X326" i="1"/>
  <c r="X330" i="1"/>
  <c r="X334" i="1"/>
  <c r="X338" i="1"/>
  <c r="X342" i="1"/>
  <c r="X346" i="1"/>
  <c r="R8" i="1"/>
  <c r="X8" i="1" s="1"/>
  <c r="R9" i="1"/>
  <c r="X9" i="1" s="1"/>
  <c r="R10" i="1"/>
  <c r="R11" i="1"/>
  <c r="X11" i="1" s="1"/>
  <c r="R12" i="1"/>
  <c r="X12" i="1" s="1"/>
  <c r="R13" i="1"/>
  <c r="X13" i="1" s="1"/>
  <c r="R14" i="1"/>
  <c r="X14" i="1" s="1"/>
  <c r="R15" i="1"/>
  <c r="X15" i="1" s="1"/>
  <c r="R16" i="1"/>
  <c r="X16" i="1" s="1"/>
  <c r="R17" i="1"/>
  <c r="X17" i="1" s="1"/>
  <c r="R18" i="1"/>
  <c r="R19" i="1"/>
  <c r="X19" i="1" s="1"/>
  <c r="R20" i="1"/>
  <c r="R21" i="1"/>
  <c r="X21" i="1" s="1"/>
  <c r="R22" i="1"/>
  <c r="R23" i="1"/>
  <c r="X23" i="1" s="1"/>
  <c r="R24" i="1"/>
  <c r="X24" i="1" s="1"/>
  <c r="R25" i="1"/>
  <c r="X25" i="1" s="1"/>
  <c r="R26" i="1"/>
  <c r="R27" i="1"/>
  <c r="X27" i="1" s="1"/>
  <c r="R28" i="1"/>
  <c r="X28" i="1" s="1"/>
  <c r="R29" i="1"/>
  <c r="X29" i="1" s="1"/>
  <c r="R30" i="1"/>
  <c r="X30" i="1" s="1"/>
  <c r="R31" i="1"/>
  <c r="X31" i="1" s="1"/>
  <c r="R32" i="1"/>
  <c r="X32" i="1" s="1"/>
  <c r="R33" i="1"/>
  <c r="X33" i="1" s="1"/>
  <c r="R34" i="1"/>
  <c r="R35" i="1"/>
  <c r="X35" i="1" s="1"/>
  <c r="R36" i="1"/>
  <c r="R37" i="1"/>
  <c r="X37" i="1" s="1"/>
  <c r="R38" i="1"/>
  <c r="R39" i="1"/>
  <c r="X39" i="1" s="1"/>
  <c r="R40" i="1"/>
  <c r="X40" i="1" s="1"/>
  <c r="R41" i="1"/>
  <c r="X41" i="1" s="1"/>
  <c r="R42" i="1"/>
  <c r="R43" i="1"/>
  <c r="X43" i="1" s="1"/>
  <c r="R44" i="1"/>
  <c r="X44" i="1" s="1"/>
  <c r="R45" i="1"/>
  <c r="X45" i="1" s="1"/>
  <c r="R46" i="1"/>
  <c r="X46" i="1" s="1"/>
  <c r="R47" i="1"/>
  <c r="X47" i="1" s="1"/>
  <c r="R48" i="1"/>
  <c r="X48" i="1" s="1"/>
  <c r="R49" i="1"/>
  <c r="X49" i="1" s="1"/>
  <c r="R50" i="1"/>
  <c r="R51" i="1"/>
  <c r="X51" i="1" s="1"/>
  <c r="R52" i="1"/>
  <c r="R53" i="1"/>
  <c r="X53" i="1" s="1"/>
  <c r="R54" i="1"/>
  <c r="R55" i="1"/>
  <c r="X55" i="1" s="1"/>
  <c r="R56" i="1"/>
  <c r="X56" i="1" s="1"/>
  <c r="R57" i="1"/>
  <c r="X57" i="1" s="1"/>
  <c r="R58" i="1"/>
  <c r="R59" i="1"/>
  <c r="X59" i="1" s="1"/>
  <c r="R60" i="1"/>
  <c r="X60" i="1" s="1"/>
  <c r="R61" i="1"/>
  <c r="X61" i="1" s="1"/>
  <c r="R62" i="1"/>
  <c r="X62" i="1" s="1"/>
  <c r="R63" i="1"/>
  <c r="X63" i="1" s="1"/>
  <c r="R64" i="1"/>
  <c r="X64" i="1" s="1"/>
  <c r="R65" i="1"/>
  <c r="X65" i="1" s="1"/>
  <c r="R66" i="1"/>
  <c r="R67" i="1"/>
  <c r="X67" i="1" s="1"/>
  <c r="R68" i="1"/>
  <c r="R69" i="1"/>
  <c r="X69" i="1" s="1"/>
  <c r="R70" i="1"/>
  <c r="R71" i="1"/>
  <c r="X71" i="1" s="1"/>
  <c r="R72" i="1"/>
  <c r="X72" i="1" s="1"/>
  <c r="R73" i="1"/>
  <c r="X73" i="1" s="1"/>
  <c r="R74" i="1"/>
  <c r="R75" i="1"/>
  <c r="X75" i="1" s="1"/>
  <c r="R76" i="1"/>
  <c r="X76" i="1" s="1"/>
  <c r="R77" i="1"/>
  <c r="X77" i="1" s="1"/>
  <c r="R78" i="1"/>
  <c r="X78" i="1" s="1"/>
  <c r="R79" i="1"/>
  <c r="X79" i="1" s="1"/>
  <c r="R80" i="1"/>
  <c r="X80" i="1" s="1"/>
  <c r="R81" i="1"/>
  <c r="X81" i="1" s="1"/>
  <c r="R82" i="1"/>
  <c r="R83" i="1"/>
  <c r="X83" i="1" s="1"/>
  <c r="R84" i="1"/>
  <c r="R85" i="1"/>
  <c r="X85" i="1" s="1"/>
  <c r="R86" i="1"/>
  <c r="R87" i="1"/>
  <c r="X87" i="1" s="1"/>
  <c r="R88" i="1"/>
  <c r="X88" i="1" s="1"/>
  <c r="R89" i="1"/>
  <c r="X89" i="1" s="1"/>
  <c r="R90" i="1"/>
  <c r="R91" i="1"/>
  <c r="X91" i="1" s="1"/>
  <c r="R92" i="1"/>
  <c r="X92" i="1" s="1"/>
  <c r="R93" i="1"/>
  <c r="X93" i="1" s="1"/>
  <c r="R94" i="1"/>
  <c r="X94" i="1" s="1"/>
  <c r="R95" i="1"/>
  <c r="X95" i="1" s="1"/>
  <c r="R96" i="1"/>
  <c r="X96" i="1" s="1"/>
  <c r="R97" i="1"/>
  <c r="X97" i="1" s="1"/>
  <c r="R98" i="1"/>
  <c r="R99" i="1"/>
  <c r="X99" i="1" s="1"/>
  <c r="R100" i="1"/>
  <c r="R101" i="1"/>
  <c r="X101" i="1" s="1"/>
  <c r="R102" i="1"/>
  <c r="R103" i="1"/>
  <c r="X103" i="1" s="1"/>
  <c r="R104" i="1"/>
  <c r="X104" i="1" s="1"/>
  <c r="R105" i="1"/>
  <c r="X105" i="1" s="1"/>
  <c r="R106" i="1"/>
  <c r="R107" i="1"/>
  <c r="X107" i="1" s="1"/>
  <c r="R108" i="1"/>
  <c r="X108" i="1" s="1"/>
  <c r="R109" i="1"/>
  <c r="X109" i="1" s="1"/>
  <c r="R110" i="1"/>
  <c r="X110" i="1" s="1"/>
  <c r="R111" i="1"/>
  <c r="X111" i="1" s="1"/>
  <c r="R112" i="1"/>
  <c r="X112" i="1" s="1"/>
  <c r="R113" i="1"/>
  <c r="X113" i="1" s="1"/>
  <c r="R114" i="1"/>
  <c r="R115" i="1"/>
  <c r="X115" i="1" s="1"/>
  <c r="R116" i="1"/>
  <c r="R117" i="1"/>
  <c r="X117" i="1" s="1"/>
  <c r="R118" i="1"/>
  <c r="R119" i="1"/>
  <c r="X119" i="1" s="1"/>
  <c r="R120" i="1"/>
  <c r="X120" i="1" s="1"/>
  <c r="R121" i="1"/>
  <c r="X121" i="1" s="1"/>
  <c r="R122" i="1"/>
  <c r="R123" i="1"/>
  <c r="X123" i="1" s="1"/>
  <c r="R124" i="1"/>
  <c r="X124" i="1" s="1"/>
  <c r="R125" i="1"/>
  <c r="X125" i="1" s="1"/>
  <c r="R126" i="1"/>
  <c r="X126" i="1" s="1"/>
  <c r="R127" i="1"/>
  <c r="X127" i="1" s="1"/>
  <c r="R128" i="1"/>
  <c r="X128" i="1" s="1"/>
  <c r="R129" i="1"/>
  <c r="X129" i="1" s="1"/>
  <c r="R130" i="1"/>
  <c r="R131" i="1"/>
  <c r="X131" i="1" s="1"/>
  <c r="R132" i="1"/>
  <c r="R133" i="1"/>
  <c r="X133" i="1" s="1"/>
  <c r="R134" i="1"/>
  <c r="R135" i="1"/>
  <c r="X135" i="1" s="1"/>
  <c r="R136" i="1"/>
  <c r="X136" i="1" s="1"/>
  <c r="R137" i="1"/>
  <c r="X137" i="1" s="1"/>
  <c r="R138" i="1"/>
  <c r="R139" i="1"/>
  <c r="X139" i="1" s="1"/>
  <c r="R140" i="1"/>
  <c r="X140" i="1" s="1"/>
  <c r="R141" i="1"/>
  <c r="X141" i="1" s="1"/>
  <c r="R142" i="1"/>
  <c r="X142" i="1" s="1"/>
  <c r="R143" i="1"/>
  <c r="X143" i="1" s="1"/>
  <c r="R144" i="1"/>
  <c r="X144" i="1" s="1"/>
  <c r="R145" i="1"/>
  <c r="X145" i="1" s="1"/>
  <c r="R146" i="1"/>
  <c r="R147" i="1"/>
  <c r="X147" i="1" s="1"/>
  <c r="R148" i="1"/>
  <c r="R149" i="1"/>
  <c r="X149" i="1" s="1"/>
  <c r="R150" i="1"/>
  <c r="R151" i="1"/>
  <c r="X151" i="1" s="1"/>
  <c r="R152" i="1"/>
  <c r="X152" i="1" s="1"/>
  <c r="R153" i="1"/>
  <c r="X153" i="1" s="1"/>
  <c r="R154" i="1"/>
  <c r="R155" i="1"/>
  <c r="X155" i="1" s="1"/>
  <c r="R156" i="1"/>
  <c r="X156" i="1" s="1"/>
  <c r="R157" i="1"/>
  <c r="X157" i="1" s="1"/>
  <c r="R158" i="1"/>
  <c r="X158" i="1" s="1"/>
  <c r="R159" i="1"/>
  <c r="X159" i="1" s="1"/>
  <c r="R160" i="1"/>
  <c r="X160" i="1" s="1"/>
  <c r="R161" i="1"/>
  <c r="X161" i="1" s="1"/>
  <c r="R162" i="1"/>
  <c r="R163" i="1"/>
  <c r="X163" i="1" s="1"/>
  <c r="R164" i="1"/>
  <c r="R165" i="1"/>
  <c r="X165" i="1" s="1"/>
  <c r="R166" i="1"/>
  <c r="R167" i="1"/>
  <c r="X167" i="1" s="1"/>
  <c r="R168" i="1"/>
  <c r="X168" i="1" s="1"/>
  <c r="R169" i="1"/>
  <c r="X169" i="1" s="1"/>
  <c r="R170" i="1"/>
  <c r="R171" i="1"/>
  <c r="X171" i="1" s="1"/>
  <c r="R172" i="1"/>
  <c r="X172" i="1" s="1"/>
  <c r="R173" i="1"/>
  <c r="X173" i="1" s="1"/>
  <c r="R174" i="1"/>
  <c r="R175" i="1"/>
  <c r="X175" i="1" s="1"/>
  <c r="R176" i="1"/>
  <c r="X176" i="1" s="1"/>
  <c r="R177" i="1"/>
  <c r="X177" i="1" s="1"/>
  <c r="R178" i="1"/>
  <c r="R179" i="1"/>
  <c r="X179" i="1" s="1"/>
  <c r="R180" i="1"/>
  <c r="X180" i="1" s="1"/>
  <c r="R181" i="1"/>
  <c r="X181" i="1" s="1"/>
  <c r="R182" i="1"/>
  <c r="R183" i="1"/>
  <c r="X183" i="1" s="1"/>
  <c r="R184" i="1"/>
  <c r="X184" i="1" s="1"/>
  <c r="R185" i="1"/>
  <c r="X185" i="1" s="1"/>
  <c r="R186" i="1"/>
  <c r="R187" i="1"/>
  <c r="X187" i="1" s="1"/>
  <c r="R188" i="1"/>
  <c r="X188" i="1" s="1"/>
  <c r="R189" i="1"/>
  <c r="X189" i="1" s="1"/>
  <c r="R190" i="1"/>
  <c r="R191" i="1"/>
  <c r="X191" i="1" s="1"/>
  <c r="R192" i="1"/>
  <c r="X192" i="1" s="1"/>
  <c r="R193" i="1"/>
  <c r="X193" i="1" s="1"/>
  <c r="R194" i="1"/>
  <c r="R195" i="1"/>
  <c r="X195" i="1" s="1"/>
  <c r="R196" i="1"/>
  <c r="X196" i="1" s="1"/>
  <c r="R197" i="1"/>
  <c r="X197" i="1" s="1"/>
  <c r="R198" i="1"/>
  <c r="R199" i="1"/>
  <c r="X199" i="1" s="1"/>
  <c r="R200" i="1"/>
  <c r="X200" i="1" s="1"/>
  <c r="R201" i="1"/>
  <c r="X201" i="1" s="1"/>
  <c r="R202" i="1"/>
  <c r="R203" i="1"/>
  <c r="X203" i="1" s="1"/>
  <c r="R204" i="1"/>
  <c r="X204" i="1" s="1"/>
  <c r="R205" i="1"/>
  <c r="X205" i="1" s="1"/>
  <c r="R206" i="1"/>
  <c r="R207" i="1"/>
  <c r="X207" i="1" s="1"/>
  <c r="R208" i="1"/>
  <c r="X208" i="1" s="1"/>
  <c r="R209" i="1"/>
  <c r="X209" i="1" s="1"/>
  <c r="R210" i="1"/>
  <c r="R211" i="1"/>
  <c r="X211" i="1" s="1"/>
  <c r="R212" i="1"/>
  <c r="X212" i="1" s="1"/>
  <c r="R213" i="1"/>
  <c r="X213" i="1" s="1"/>
  <c r="R214" i="1"/>
  <c r="R215" i="1"/>
  <c r="X215" i="1" s="1"/>
  <c r="R216" i="1"/>
  <c r="X216" i="1" s="1"/>
  <c r="R217" i="1"/>
  <c r="X217" i="1" s="1"/>
  <c r="R218" i="1"/>
  <c r="R219" i="1"/>
  <c r="X219" i="1" s="1"/>
  <c r="R220" i="1"/>
  <c r="X220" i="1" s="1"/>
  <c r="R221" i="1"/>
  <c r="X221" i="1" s="1"/>
  <c r="R222" i="1"/>
  <c r="R223" i="1"/>
  <c r="X223" i="1" s="1"/>
  <c r="R224" i="1"/>
  <c r="X224" i="1" s="1"/>
  <c r="R225" i="1"/>
  <c r="X225" i="1" s="1"/>
  <c r="R226" i="1"/>
  <c r="R227" i="1"/>
  <c r="X227" i="1" s="1"/>
  <c r="R228" i="1"/>
  <c r="X228" i="1" s="1"/>
  <c r="R229" i="1"/>
  <c r="X229" i="1" s="1"/>
  <c r="R230" i="1"/>
  <c r="R231" i="1"/>
  <c r="X231" i="1" s="1"/>
  <c r="R232" i="1"/>
  <c r="X232" i="1" s="1"/>
  <c r="R233" i="1"/>
  <c r="X233" i="1" s="1"/>
  <c r="R234" i="1"/>
  <c r="R235" i="1"/>
  <c r="X235" i="1" s="1"/>
  <c r="R236" i="1"/>
  <c r="X236" i="1" s="1"/>
  <c r="R237" i="1"/>
  <c r="X237" i="1" s="1"/>
  <c r="R238" i="1"/>
  <c r="R239" i="1"/>
  <c r="X239" i="1" s="1"/>
  <c r="R240" i="1"/>
  <c r="X240" i="1" s="1"/>
  <c r="R241" i="1"/>
  <c r="X241" i="1" s="1"/>
  <c r="R242" i="1"/>
  <c r="R243" i="1"/>
  <c r="X243" i="1" s="1"/>
  <c r="R244" i="1"/>
  <c r="X244" i="1" s="1"/>
  <c r="R245" i="1"/>
  <c r="X245" i="1" s="1"/>
  <c r="R246" i="1"/>
  <c r="R247" i="1"/>
  <c r="X247" i="1" s="1"/>
  <c r="R248" i="1"/>
  <c r="X248" i="1" s="1"/>
  <c r="R249" i="1"/>
  <c r="X249" i="1" s="1"/>
  <c r="R250" i="1"/>
  <c r="R251" i="1"/>
  <c r="X251" i="1" s="1"/>
  <c r="R252" i="1"/>
  <c r="X252" i="1" s="1"/>
  <c r="R253" i="1"/>
  <c r="X253" i="1" s="1"/>
  <c r="R254" i="1"/>
  <c r="R255" i="1"/>
  <c r="X255" i="1" s="1"/>
  <c r="R256" i="1"/>
  <c r="X256" i="1" s="1"/>
  <c r="R257" i="1"/>
  <c r="X257" i="1" s="1"/>
  <c r="R258" i="1"/>
  <c r="R259" i="1"/>
  <c r="X259" i="1" s="1"/>
  <c r="R260" i="1"/>
  <c r="X260" i="1" s="1"/>
  <c r="R261" i="1"/>
  <c r="X261" i="1" s="1"/>
  <c r="R262" i="1"/>
  <c r="R263" i="1"/>
  <c r="X263" i="1" s="1"/>
  <c r="R264" i="1"/>
  <c r="X264" i="1" s="1"/>
  <c r="R265" i="1"/>
  <c r="X265" i="1" s="1"/>
  <c r="R266" i="1"/>
  <c r="R267" i="1"/>
  <c r="X267" i="1" s="1"/>
  <c r="R268" i="1"/>
  <c r="X268" i="1" s="1"/>
  <c r="R269" i="1"/>
  <c r="X269" i="1" s="1"/>
  <c r="R270" i="1"/>
  <c r="R271" i="1"/>
  <c r="X271" i="1" s="1"/>
  <c r="R272" i="1"/>
  <c r="X272" i="1" s="1"/>
  <c r="R273" i="1"/>
  <c r="X273" i="1" s="1"/>
  <c r="R274" i="1"/>
  <c r="R275" i="1"/>
  <c r="X275" i="1" s="1"/>
  <c r="R276" i="1"/>
  <c r="X276" i="1" s="1"/>
  <c r="R277" i="1"/>
  <c r="X277" i="1" s="1"/>
  <c r="R278" i="1"/>
  <c r="R279" i="1"/>
  <c r="X279" i="1" s="1"/>
  <c r="R280" i="1"/>
  <c r="X280" i="1" s="1"/>
  <c r="R281" i="1"/>
  <c r="X281" i="1" s="1"/>
  <c r="R282" i="1"/>
  <c r="R283" i="1"/>
  <c r="X283" i="1" s="1"/>
  <c r="R284" i="1"/>
  <c r="X284" i="1" s="1"/>
  <c r="R285" i="1"/>
  <c r="X285" i="1" s="1"/>
  <c r="R286" i="1"/>
  <c r="R287" i="1"/>
  <c r="X287" i="1" s="1"/>
  <c r="R288" i="1"/>
  <c r="X288" i="1" s="1"/>
  <c r="R289" i="1"/>
  <c r="X289" i="1" s="1"/>
  <c r="R290" i="1"/>
  <c r="R291" i="1"/>
  <c r="X291" i="1" s="1"/>
  <c r="R292" i="1"/>
  <c r="X292" i="1" s="1"/>
  <c r="R293" i="1"/>
  <c r="X293" i="1" s="1"/>
  <c r="R294" i="1"/>
  <c r="R295" i="1"/>
  <c r="X295" i="1" s="1"/>
  <c r="R296" i="1"/>
  <c r="X296" i="1" s="1"/>
  <c r="R297" i="1"/>
  <c r="X297" i="1" s="1"/>
  <c r="R298" i="1"/>
  <c r="R299" i="1"/>
  <c r="X299" i="1" s="1"/>
  <c r="R300" i="1"/>
  <c r="X300" i="1" s="1"/>
  <c r="R301" i="1"/>
  <c r="X301" i="1" s="1"/>
  <c r="R302" i="1"/>
  <c r="R303" i="1"/>
  <c r="X303" i="1" s="1"/>
  <c r="R304" i="1"/>
  <c r="X304" i="1" s="1"/>
  <c r="R305" i="1"/>
  <c r="X305" i="1" s="1"/>
  <c r="R306" i="1"/>
  <c r="R307" i="1"/>
  <c r="X307" i="1" s="1"/>
  <c r="R308" i="1"/>
  <c r="X308" i="1" s="1"/>
  <c r="R309" i="1"/>
  <c r="X309" i="1" s="1"/>
  <c r="R310" i="1"/>
  <c r="R311" i="1"/>
  <c r="X311" i="1" s="1"/>
  <c r="R312" i="1"/>
  <c r="X312" i="1" s="1"/>
  <c r="R313" i="1"/>
  <c r="X313" i="1" s="1"/>
  <c r="R314" i="1"/>
  <c r="R315" i="1"/>
  <c r="X315" i="1" s="1"/>
  <c r="R316" i="1"/>
  <c r="X316" i="1" s="1"/>
  <c r="R317" i="1"/>
  <c r="X317" i="1" s="1"/>
  <c r="R318" i="1"/>
  <c r="R319" i="1"/>
  <c r="X319" i="1" s="1"/>
  <c r="R320" i="1"/>
  <c r="X320" i="1" s="1"/>
  <c r="R321" i="1"/>
  <c r="X321" i="1" s="1"/>
  <c r="R322" i="1"/>
  <c r="R323" i="1"/>
  <c r="X323" i="1" s="1"/>
  <c r="R324" i="1"/>
  <c r="X324" i="1" s="1"/>
  <c r="R325" i="1"/>
  <c r="X325" i="1" s="1"/>
  <c r="R326" i="1"/>
  <c r="R327" i="1"/>
  <c r="X327" i="1" s="1"/>
  <c r="R328" i="1"/>
  <c r="X328" i="1" s="1"/>
  <c r="R329" i="1"/>
  <c r="X329" i="1" s="1"/>
  <c r="R330" i="1"/>
  <c r="R331" i="1"/>
  <c r="X331" i="1" s="1"/>
  <c r="R332" i="1"/>
  <c r="X332" i="1" s="1"/>
  <c r="R333" i="1"/>
  <c r="X333" i="1" s="1"/>
  <c r="R334" i="1"/>
  <c r="R335" i="1"/>
  <c r="X335" i="1" s="1"/>
  <c r="R336" i="1"/>
  <c r="X336" i="1" s="1"/>
  <c r="R337" i="1"/>
  <c r="X337" i="1" s="1"/>
  <c r="R338" i="1"/>
  <c r="R339" i="1"/>
  <c r="X339" i="1" s="1"/>
  <c r="R340" i="1"/>
  <c r="X340" i="1" s="1"/>
  <c r="R341" i="1"/>
  <c r="X341" i="1" s="1"/>
  <c r="R342" i="1"/>
  <c r="R343" i="1"/>
  <c r="X343" i="1" s="1"/>
  <c r="R344" i="1"/>
  <c r="X344" i="1" s="1"/>
  <c r="R345" i="1"/>
  <c r="X345" i="1" s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5" i="1"/>
  <c r="X5" i="1" s="1"/>
  <c r="R6" i="1"/>
  <c r="X6" i="1" s="1"/>
  <c r="R7" i="1"/>
  <c r="X7" i="1" s="1"/>
  <c r="R4" i="1"/>
  <c r="X4" i="1" s="1"/>
  <c r="AE753" i="1"/>
  <c r="AE752" i="1"/>
  <c r="AE751" i="1"/>
  <c r="AE750" i="1"/>
  <c r="AE749" i="1"/>
  <c r="AE748" i="1"/>
  <c r="AE747" i="1"/>
  <c r="AE746" i="1"/>
  <c r="AE745" i="1"/>
  <c r="AE744" i="1"/>
  <c r="AE743" i="1"/>
  <c r="AE742" i="1"/>
  <c r="AE741" i="1"/>
  <c r="AE740" i="1"/>
  <c r="AE739" i="1"/>
  <c r="AE738" i="1"/>
  <c r="AE737" i="1"/>
  <c r="AE736" i="1"/>
  <c r="AE735" i="1"/>
  <c r="AE734" i="1"/>
  <c r="AE733" i="1"/>
  <c r="AE732" i="1"/>
  <c r="AE731" i="1"/>
  <c r="AE730" i="1"/>
  <c r="AE729" i="1"/>
  <c r="AE728" i="1"/>
  <c r="AE727" i="1"/>
  <c r="AE726" i="1"/>
  <c r="AE725" i="1"/>
  <c r="AE724" i="1"/>
  <c r="AE723" i="1"/>
  <c r="AE722" i="1"/>
  <c r="AE721" i="1"/>
  <c r="AE720" i="1"/>
  <c r="AE719" i="1"/>
  <c r="AE718" i="1"/>
  <c r="AE717" i="1"/>
  <c r="AE716" i="1"/>
  <c r="AE715" i="1"/>
  <c r="AE714" i="1"/>
  <c r="AE713" i="1"/>
  <c r="AE712" i="1"/>
  <c r="AE711" i="1"/>
  <c r="AE710" i="1"/>
  <c r="AE709" i="1"/>
  <c r="AE708" i="1"/>
  <c r="AE707" i="1"/>
  <c r="AE706" i="1"/>
  <c r="AE705" i="1"/>
  <c r="AE704" i="1"/>
  <c r="AE703" i="1"/>
  <c r="AE702" i="1"/>
  <c r="AE701" i="1"/>
  <c r="AE700" i="1"/>
  <c r="AE699" i="1"/>
  <c r="AE698" i="1"/>
  <c r="AE697" i="1"/>
  <c r="AE696" i="1"/>
  <c r="AE695" i="1"/>
  <c r="AE694" i="1"/>
  <c r="AE693" i="1"/>
  <c r="AE692" i="1"/>
  <c r="AE691" i="1"/>
  <c r="AE690" i="1"/>
  <c r="AE689" i="1"/>
  <c r="AE688" i="1"/>
  <c r="AE687" i="1"/>
  <c r="AE686" i="1"/>
  <c r="AE685" i="1"/>
  <c r="AE684" i="1"/>
  <c r="AE683" i="1"/>
  <c r="AE682" i="1"/>
  <c r="AE681" i="1"/>
  <c r="AE680" i="1"/>
  <c r="AE679" i="1"/>
  <c r="AE678" i="1"/>
  <c r="AE677" i="1"/>
  <c r="AE676" i="1"/>
  <c r="AE675" i="1"/>
  <c r="AE674" i="1"/>
  <c r="AE673" i="1"/>
  <c r="AE672" i="1"/>
  <c r="AE671" i="1"/>
  <c r="AE670" i="1"/>
  <c r="AE669" i="1"/>
  <c r="AE668" i="1"/>
  <c r="AE667" i="1"/>
  <c r="AE666" i="1"/>
  <c r="AE665" i="1"/>
  <c r="AE664" i="1"/>
  <c r="AE663" i="1"/>
  <c r="AE662" i="1"/>
  <c r="AE661" i="1"/>
  <c r="AE660" i="1"/>
  <c r="AE659" i="1"/>
  <c r="AE658" i="1"/>
  <c r="AE657" i="1"/>
  <c r="AE656" i="1"/>
  <c r="AE655" i="1"/>
  <c r="AE654" i="1"/>
  <c r="AE653" i="1"/>
  <c r="AE652" i="1"/>
  <c r="AE651" i="1"/>
  <c r="AE650" i="1"/>
  <c r="AE649" i="1"/>
  <c r="AE648" i="1"/>
  <c r="AE647" i="1"/>
  <c r="AE646" i="1"/>
  <c r="AE645" i="1"/>
  <c r="AE644" i="1"/>
  <c r="AE643" i="1"/>
  <c r="AE642" i="1"/>
  <c r="AE641" i="1"/>
  <c r="AE640" i="1"/>
  <c r="AE639" i="1"/>
  <c r="AE638" i="1"/>
  <c r="AE637" i="1"/>
  <c r="AE636" i="1"/>
  <c r="AE635" i="1"/>
  <c r="AE634" i="1"/>
  <c r="AE633" i="1"/>
  <c r="AE632" i="1"/>
  <c r="AE631" i="1"/>
  <c r="AE630" i="1"/>
  <c r="AE629" i="1"/>
  <c r="AE628" i="1"/>
  <c r="AE627" i="1"/>
  <c r="AE626" i="1"/>
  <c r="AE625" i="1"/>
  <c r="AE624" i="1"/>
  <c r="AE623" i="1"/>
  <c r="AE622" i="1"/>
  <c r="AE621" i="1"/>
  <c r="AE620" i="1"/>
  <c r="AE619" i="1"/>
  <c r="AE618" i="1"/>
  <c r="AE617" i="1"/>
  <c r="AE616" i="1"/>
  <c r="AE615" i="1"/>
  <c r="AE614" i="1"/>
  <c r="AE613" i="1"/>
  <c r="AE612" i="1"/>
  <c r="AE611" i="1"/>
  <c r="AE610" i="1"/>
  <c r="AE609" i="1"/>
  <c r="AE608" i="1"/>
  <c r="AE607" i="1"/>
  <c r="AE606" i="1"/>
  <c r="AE605" i="1"/>
  <c r="AE604" i="1"/>
  <c r="AE603" i="1"/>
  <c r="AE602" i="1"/>
  <c r="AE601" i="1"/>
  <c r="AE600" i="1"/>
  <c r="AE599" i="1"/>
  <c r="AE598" i="1"/>
  <c r="AE597" i="1"/>
  <c r="AE596" i="1"/>
  <c r="AE595" i="1"/>
  <c r="AE594" i="1"/>
  <c r="AE593" i="1"/>
  <c r="AE592" i="1"/>
  <c r="AE591" i="1"/>
  <c r="AE590" i="1"/>
  <c r="AE589" i="1"/>
  <c r="AE588" i="1"/>
  <c r="AE587" i="1"/>
  <c r="AE586" i="1"/>
  <c r="AE585" i="1"/>
  <c r="AE584" i="1"/>
  <c r="AE583" i="1"/>
  <c r="AE582" i="1"/>
  <c r="AE581" i="1"/>
  <c r="AE580" i="1"/>
  <c r="AE579" i="1"/>
  <c r="AE578" i="1"/>
  <c r="AE577" i="1"/>
  <c r="AE576" i="1"/>
  <c r="AE575" i="1"/>
  <c r="AE574" i="1"/>
  <c r="AE573" i="1"/>
  <c r="AE572" i="1"/>
  <c r="AE571" i="1"/>
  <c r="AE570" i="1"/>
  <c r="AE569" i="1"/>
  <c r="AE568" i="1"/>
  <c r="AE567" i="1"/>
  <c r="AE566" i="1"/>
  <c r="AE565" i="1"/>
  <c r="AE564" i="1"/>
  <c r="AE563" i="1"/>
  <c r="AE562" i="1"/>
  <c r="AE561" i="1"/>
  <c r="AE560" i="1"/>
  <c r="AE559" i="1"/>
  <c r="AE558" i="1"/>
  <c r="AE557" i="1"/>
  <c r="AE556" i="1"/>
  <c r="AE555" i="1"/>
  <c r="AE554" i="1"/>
  <c r="AE553" i="1"/>
  <c r="AE552" i="1"/>
  <c r="AE551" i="1"/>
  <c r="AE550" i="1"/>
  <c r="AE549" i="1"/>
  <c r="AE548" i="1"/>
  <c r="AE547" i="1"/>
  <c r="AE546" i="1"/>
  <c r="AE545" i="1"/>
  <c r="AE544" i="1"/>
  <c r="AE543" i="1"/>
  <c r="AE542" i="1"/>
  <c r="AE541" i="1"/>
  <c r="AE540" i="1"/>
  <c r="AE539" i="1"/>
  <c r="AE538" i="1"/>
  <c r="AE537" i="1"/>
  <c r="AE536" i="1"/>
  <c r="AE535" i="1"/>
  <c r="AE534" i="1"/>
  <c r="AE533" i="1"/>
  <c r="AE532" i="1"/>
  <c r="AE531" i="1"/>
  <c r="AE530" i="1"/>
  <c r="AE529" i="1"/>
  <c r="AE528" i="1"/>
  <c r="AE527" i="1"/>
  <c r="AE526" i="1"/>
  <c r="AE525" i="1"/>
  <c r="AE524" i="1"/>
  <c r="AE523" i="1"/>
  <c r="AE522" i="1"/>
  <c r="AE521" i="1"/>
  <c r="AE520" i="1"/>
  <c r="AE519" i="1"/>
  <c r="AE518" i="1"/>
  <c r="AE517" i="1"/>
  <c r="AE516" i="1"/>
  <c r="AE515" i="1"/>
  <c r="AE514" i="1"/>
  <c r="AE513" i="1"/>
  <c r="AE512" i="1"/>
  <c r="AE511" i="1"/>
  <c r="AE510" i="1"/>
  <c r="AE509" i="1"/>
  <c r="AE508" i="1"/>
  <c r="AE507" i="1"/>
  <c r="AE506" i="1"/>
  <c r="AE505" i="1"/>
  <c r="AE504" i="1"/>
  <c r="AE503" i="1"/>
  <c r="AE502" i="1"/>
  <c r="AE501" i="1"/>
  <c r="AE500" i="1"/>
  <c r="AE499" i="1"/>
  <c r="AE498" i="1"/>
  <c r="AE497" i="1"/>
  <c r="AE496" i="1"/>
  <c r="AE495" i="1"/>
  <c r="AE494" i="1"/>
  <c r="AE493" i="1"/>
  <c r="AE492" i="1"/>
  <c r="AE491" i="1"/>
  <c r="AE490" i="1"/>
  <c r="AE489" i="1"/>
  <c r="AE488" i="1"/>
  <c r="AE487" i="1"/>
  <c r="AE486" i="1"/>
  <c r="AE485" i="1"/>
  <c r="AE484" i="1"/>
  <c r="AE483" i="1"/>
  <c r="AE482" i="1"/>
  <c r="AE481" i="1"/>
  <c r="AE480" i="1"/>
  <c r="AE479" i="1"/>
  <c r="AE478" i="1"/>
  <c r="AE477" i="1"/>
  <c r="AE476" i="1"/>
  <c r="AE475" i="1"/>
  <c r="AE474" i="1"/>
  <c r="AE473" i="1"/>
  <c r="AE472" i="1"/>
  <c r="AE471" i="1"/>
  <c r="AE470" i="1"/>
  <c r="AE469" i="1"/>
  <c r="AE468" i="1"/>
  <c r="AE467" i="1"/>
  <c r="AE466" i="1"/>
  <c r="AE465" i="1"/>
  <c r="AE464" i="1"/>
  <c r="AE463" i="1"/>
  <c r="AE462" i="1"/>
  <c r="AE461" i="1"/>
  <c r="AE460" i="1"/>
  <c r="AE459" i="1"/>
  <c r="AE458" i="1"/>
  <c r="AE457" i="1"/>
  <c r="AE456" i="1"/>
  <c r="AE455" i="1"/>
  <c r="AE454" i="1"/>
  <c r="AE453" i="1"/>
  <c r="AE452" i="1"/>
  <c r="AE451" i="1"/>
  <c r="AE450" i="1"/>
  <c r="AE449" i="1"/>
  <c r="AE448" i="1"/>
  <c r="AE447" i="1"/>
  <c r="AE446" i="1"/>
  <c r="AE445" i="1"/>
  <c r="AE444" i="1"/>
  <c r="AE443" i="1"/>
  <c r="AE442" i="1"/>
  <c r="AE441" i="1"/>
  <c r="AE440" i="1"/>
  <c r="AE439" i="1"/>
  <c r="AE438" i="1"/>
  <c r="AE437" i="1"/>
  <c r="AE436" i="1"/>
  <c r="AE435" i="1"/>
  <c r="AE434" i="1"/>
  <c r="AE433" i="1"/>
  <c r="AE432" i="1"/>
  <c r="AE431" i="1"/>
  <c r="AE430" i="1"/>
  <c r="AE429" i="1"/>
  <c r="AE428" i="1"/>
  <c r="AE427" i="1"/>
  <c r="AE426" i="1"/>
  <c r="AE425" i="1"/>
  <c r="AE424" i="1"/>
  <c r="AE423" i="1"/>
  <c r="AE422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AE380" i="1"/>
  <c r="AE379" i="1"/>
  <c r="AE378" i="1"/>
  <c r="AE377" i="1"/>
  <c r="AE376" i="1"/>
  <c r="AE375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Q4" i="1" a="1"/>
  <c r="Q4" i="1" s="1"/>
  <c r="P4" i="1" a="1"/>
  <c r="P4" i="1" s="1"/>
  <c r="V4" i="1" s="1" a="1"/>
  <c r="V4" i="1" s="1"/>
  <c r="O4" i="1" a="1"/>
  <c r="O4" i="1" s="1"/>
  <c r="T4" i="1" s="1" a="1"/>
  <c r="T4" i="1" s="1"/>
  <c r="N4" i="1" a="1"/>
  <c r="N4" i="1"/>
  <c r="U4" i="1" l="1" a="1"/>
  <c r="U4" i="1" s="1"/>
  <c r="W4" i="1" s="1" a="1"/>
  <c r="W4" i="1" s="1"/>
  <c r="S4" i="1"/>
  <c r="AC6" i="1"/>
  <c r="AC5" i="1"/>
  <c r="AC10" i="1"/>
  <c r="AC14" i="1"/>
  <c r="AC18" i="1"/>
  <c r="AC22" i="1"/>
  <c r="AC26" i="1"/>
  <c r="AC30" i="1"/>
  <c r="AC34" i="1"/>
  <c r="AC38" i="1"/>
  <c r="AC42" i="1"/>
  <c r="AC46" i="1"/>
  <c r="AC50" i="1"/>
  <c r="AC54" i="1"/>
  <c r="AC58" i="1"/>
  <c r="AC62" i="1"/>
  <c r="AC66" i="1"/>
  <c r="AC70" i="1"/>
  <c r="AC74" i="1"/>
  <c r="AC78" i="1"/>
  <c r="AC82" i="1"/>
  <c r="AC86" i="1"/>
  <c r="AC90" i="1"/>
  <c r="AC94" i="1"/>
  <c r="AC98" i="1"/>
  <c r="AC102" i="1"/>
  <c r="AC106" i="1"/>
  <c r="AC110" i="1"/>
  <c r="AC114" i="1"/>
  <c r="AC118" i="1"/>
  <c r="AC122" i="1"/>
  <c r="AC126" i="1"/>
  <c r="AC130" i="1"/>
  <c r="AC134" i="1"/>
  <c r="AC138" i="1"/>
  <c r="AC142" i="1"/>
  <c r="AC146" i="1"/>
  <c r="AC150" i="1"/>
  <c r="AC154" i="1"/>
  <c r="AC158" i="1"/>
  <c r="AC162" i="1"/>
  <c r="AC166" i="1"/>
  <c r="AC170" i="1"/>
  <c r="AC174" i="1"/>
  <c r="AC178" i="1"/>
  <c r="AC182" i="1"/>
  <c r="AC186" i="1"/>
  <c r="AC190" i="1"/>
  <c r="AC194" i="1"/>
  <c r="AC198" i="1"/>
  <c r="AC202" i="1"/>
  <c r="AC206" i="1"/>
  <c r="AC210" i="1"/>
  <c r="AC214" i="1"/>
  <c r="AC218" i="1"/>
  <c r="AC222" i="1"/>
  <c r="AC226" i="1"/>
  <c r="AC230" i="1"/>
  <c r="AC234" i="1"/>
  <c r="AC238" i="1"/>
  <c r="AC242" i="1"/>
  <c r="AC246" i="1"/>
  <c r="AC250" i="1"/>
  <c r="AC254" i="1"/>
  <c r="AC258" i="1"/>
  <c r="AC262" i="1"/>
  <c r="AC266" i="1"/>
  <c r="AC270" i="1"/>
  <c r="AC274" i="1"/>
  <c r="AC278" i="1"/>
  <c r="AC282" i="1"/>
  <c r="AC286" i="1"/>
  <c r="AC290" i="1"/>
  <c r="AC294" i="1"/>
  <c r="AC298" i="1"/>
  <c r="AC302" i="1"/>
  <c r="AC306" i="1"/>
  <c r="AC310" i="1"/>
  <c r="AC314" i="1"/>
  <c r="AC318" i="1"/>
  <c r="AC322" i="1"/>
  <c r="AC326" i="1"/>
  <c r="AC330" i="1"/>
  <c r="AC334" i="1"/>
  <c r="AC7" i="1"/>
  <c r="AC11" i="1"/>
  <c r="AC15" i="1"/>
  <c r="AC19" i="1"/>
  <c r="AC23" i="1"/>
  <c r="AC27" i="1"/>
  <c r="AC31" i="1"/>
  <c r="AC35" i="1"/>
  <c r="AC39" i="1"/>
  <c r="AC43" i="1"/>
  <c r="AC47" i="1"/>
  <c r="AC51" i="1"/>
  <c r="AC55" i="1"/>
  <c r="AC59" i="1"/>
  <c r="AC63" i="1"/>
  <c r="AC67" i="1"/>
  <c r="AC71" i="1"/>
  <c r="AC75" i="1"/>
  <c r="AC79" i="1"/>
  <c r="AC83" i="1"/>
  <c r="AC87" i="1"/>
  <c r="AC91" i="1"/>
  <c r="AC95" i="1"/>
  <c r="AC99" i="1"/>
  <c r="AC103" i="1"/>
  <c r="AC107" i="1"/>
  <c r="AC111" i="1"/>
  <c r="AC115" i="1"/>
  <c r="AC119" i="1"/>
  <c r="AC123" i="1"/>
  <c r="AC127" i="1"/>
  <c r="AC131" i="1"/>
  <c r="AC135" i="1"/>
  <c r="AC139" i="1"/>
  <c r="AC143" i="1"/>
  <c r="AC147" i="1"/>
  <c r="AC151" i="1"/>
  <c r="AC155" i="1"/>
  <c r="AC159" i="1"/>
  <c r="AC163" i="1"/>
  <c r="AC167" i="1"/>
  <c r="AC171" i="1"/>
  <c r="AC175" i="1"/>
  <c r="AC179" i="1"/>
  <c r="AC183" i="1"/>
  <c r="AC187" i="1"/>
  <c r="AC191" i="1"/>
  <c r="AC195" i="1"/>
  <c r="AC199" i="1"/>
  <c r="AC203" i="1"/>
  <c r="AC207" i="1"/>
  <c r="AC211" i="1"/>
  <c r="AC215" i="1"/>
  <c r="AC219" i="1"/>
  <c r="AC223" i="1"/>
  <c r="AC227" i="1"/>
  <c r="AC231" i="1"/>
  <c r="AC235" i="1"/>
  <c r="AC239" i="1"/>
  <c r="AC243" i="1"/>
  <c r="AC247" i="1"/>
  <c r="AC251" i="1"/>
  <c r="AC255" i="1"/>
  <c r="AC259" i="1"/>
  <c r="AC263" i="1"/>
  <c r="AC267" i="1"/>
  <c r="AC271" i="1"/>
  <c r="AC275" i="1"/>
  <c r="AC279" i="1"/>
  <c r="AC283" i="1"/>
  <c r="AC287" i="1"/>
  <c r="AC291" i="1"/>
  <c r="AC295" i="1"/>
  <c r="AC299" i="1"/>
  <c r="AC303" i="1"/>
  <c r="AC307" i="1"/>
  <c r="AC311" i="1"/>
  <c r="AC315" i="1"/>
  <c r="AC319" i="1"/>
  <c r="AC323" i="1"/>
  <c r="AC327" i="1"/>
  <c r="AC331" i="1"/>
  <c r="AC335" i="1"/>
  <c r="AC339" i="1"/>
  <c r="AC343" i="1"/>
  <c r="AC8" i="1"/>
  <c r="AC12" i="1"/>
  <c r="AC16" i="1"/>
  <c r="AC20" i="1"/>
  <c r="AC24" i="1"/>
  <c r="AC28" i="1"/>
  <c r="AC32" i="1"/>
  <c r="AC36" i="1"/>
  <c r="AC40" i="1"/>
  <c r="AC44" i="1"/>
  <c r="AC48" i="1"/>
  <c r="AC52" i="1"/>
  <c r="AC56" i="1"/>
  <c r="AC60" i="1"/>
  <c r="AC64" i="1"/>
  <c r="AC68" i="1"/>
  <c r="AC72" i="1"/>
  <c r="AC76" i="1"/>
  <c r="AC80" i="1"/>
  <c r="AC84" i="1"/>
  <c r="AC88" i="1"/>
  <c r="AC92" i="1"/>
  <c r="AC96" i="1"/>
  <c r="AC100" i="1"/>
  <c r="AC104" i="1"/>
  <c r="AC108" i="1"/>
  <c r="AC112" i="1"/>
  <c r="AC116" i="1"/>
  <c r="AC120" i="1"/>
  <c r="AC124" i="1"/>
  <c r="AC128" i="1"/>
  <c r="AC132" i="1"/>
  <c r="AC136" i="1"/>
  <c r="AC140" i="1"/>
  <c r="AC144" i="1"/>
  <c r="AC148" i="1"/>
  <c r="AC152" i="1"/>
  <c r="AC156" i="1"/>
  <c r="AC160" i="1"/>
  <c r="AC164" i="1"/>
  <c r="AC168" i="1"/>
  <c r="AC172" i="1"/>
  <c r="AC176" i="1"/>
  <c r="AC180" i="1"/>
  <c r="AC184" i="1"/>
  <c r="AC188" i="1"/>
  <c r="AC192" i="1"/>
  <c r="AC196" i="1"/>
  <c r="AC200" i="1"/>
  <c r="AC204" i="1"/>
  <c r="AC208" i="1"/>
  <c r="AC212" i="1"/>
  <c r="AC216" i="1"/>
  <c r="AC220" i="1"/>
  <c r="AC224" i="1"/>
  <c r="AC228" i="1"/>
  <c r="AC232" i="1"/>
  <c r="AC236" i="1"/>
  <c r="AC240" i="1"/>
  <c r="AC244" i="1"/>
  <c r="AC248" i="1"/>
  <c r="AC252" i="1"/>
  <c r="AC9" i="1"/>
  <c r="AC25" i="1"/>
  <c r="AC41" i="1"/>
  <c r="AC57" i="1"/>
  <c r="AC73" i="1"/>
  <c r="AC89" i="1"/>
  <c r="AC105" i="1"/>
  <c r="AC121" i="1"/>
  <c r="AC137" i="1"/>
  <c r="AC153" i="1"/>
  <c r="AC169" i="1"/>
  <c r="AC185" i="1"/>
  <c r="AC201" i="1"/>
  <c r="AC217" i="1"/>
  <c r="AC233" i="1"/>
  <c r="AC249" i="1"/>
  <c r="AC260" i="1"/>
  <c r="AC268" i="1"/>
  <c r="AC276" i="1"/>
  <c r="AC284" i="1"/>
  <c r="AC292" i="1"/>
  <c r="AC300" i="1"/>
  <c r="AC308" i="1"/>
  <c r="AC316" i="1"/>
  <c r="AC324" i="1"/>
  <c r="AC332" i="1"/>
  <c r="AC338" i="1"/>
  <c r="AC344" i="1"/>
  <c r="AC348" i="1"/>
  <c r="AC352" i="1"/>
  <c r="AB6" i="1"/>
  <c r="AB10" i="1"/>
  <c r="AB14" i="1"/>
  <c r="AB18" i="1"/>
  <c r="AB22" i="1"/>
  <c r="AB26" i="1"/>
  <c r="AB30" i="1"/>
  <c r="AB34" i="1"/>
  <c r="AB38" i="1"/>
  <c r="AB42" i="1"/>
  <c r="AB46" i="1"/>
  <c r="AB50" i="1"/>
  <c r="AB54" i="1"/>
  <c r="AB58" i="1"/>
  <c r="AB62" i="1"/>
  <c r="AB66" i="1"/>
  <c r="AB70" i="1"/>
  <c r="AB74" i="1"/>
  <c r="AB78" i="1"/>
  <c r="AC17" i="1"/>
  <c r="AC33" i="1"/>
  <c r="AC49" i="1"/>
  <c r="AC65" i="1"/>
  <c r="AC81" i="1"/>
  <c r="AC97" i="1"/>
  <c r="AC113" i="1"/>
  <c r="AC129" i="1"/>
  <c r="AC145" i="1"/>
  <c r="AC161" i="1"/>
  <c r="AC177" i="1"/>
  <c r="AC193" i="1"/>
  <c r="AC209" i="1"/>
  <c r="AC225" i="1"/>
  <c r="AC241" i="1"/>
  <c r="AC256" i="1"/>
  <c r="AC264" i="1"/>
  <c r="AC272" i="1"/>
  <c r="AC280" i="1"/>
  <c r="AC288" i="1"/>
  <c r="AC296" i="1"/>
  <c r="AC304" i="1"/>
  <c r="AC312" i="1"/>
  <c r="AC320" i="1"/>
  <c r="AC328" i="1"/>
  <c r="AC336" i="1"/>
  <c r="AC341" i="1"/>
  <c r="AC346" i="1"/>
  <c r="AC350" i="1"/>
  <c r="AB8" i="1"/>
  <c r="AB12" i="1"/>
  <c r="AB16" i="1"/>
  <c r="AB20" i="1"/>
  <c r="AB24" i="1"/>
  <c r="AB28" i="1"/>
  <c r="AB32" i="1"/>
  <c r="AB36" i="1"/>
  <c r="AB40" i="1"/>
  <c r="AB44" i="1"/>
  <c r="AB48" i="1"/>
  <c r="AB52" i="1"/>
  <c r="AB56" i="1"/>
  <c r="AB60" i="1"/>
  <c r="AB64" i="1"/>
  <c r="AB68" i="1"/>
  <c r="AB72" i="1"/>
  <c r="AB76" i="1"/>
  <c r="AB80" i="1"/>
  <c r="AB84" i="1"/>
  <c r="AB88" i="1"/>
  <c r="AB92" i="1"/>
  <c r="AB96" i="1"/>
  <c r="AB100" i="1"/>
  <c r="AB104" i="1"/>
  <c r="AB108" i="1"/>
  <c r="AB112" i="1"/>
  <c r="AB116" i="1"/>
  <c r="AB120" i="1"/>
  <c r="AB124" i="1"/>
  <c r="AB128" i="1"/>
  <c r="AB132" i="1"/>
  <c r="AB136" i="1"/>
  <c r="AB140" i="1"/>
  <c r="AB144" i="1"/>
  <c r="AB148" i="1"/>
  <c r="AB152" i="1"/>
  <c r="AB156" i="1"/>
  <c r="AB160" i="1"/>
  <c r="AB164" i="1"/>
  <c r="AB168" i="1"/>
  <c r="AB172" i="1"/>
  <c r="AB176" i="1"/>
  <c r="AB180" i="1"/>
  <c r="AB184" i="1"/>
  <c r="AB188" i="1"/>
  <c r="AB192" i="1"/>
  <c r="AB196" i="1"/>
  <c r="AB200" i="1"/>
  <c r="AB204" i="1"/>
  <c r="AB208" i="1"/>
  <c r="AB212" i="1"/>
  <c r="AB216" i="1"/>
  <c r="AB220" i="1"/>
  <c r="AB224" i="1"/>
  <c r="AC13" i="1"/>
  <c r="AC45" i="1"/>
  <c r="AC77" i="1"/>
  <c r="AC109" i="1"/>
  <c r="AC141" i="1"/>
  <c r="AC173" i="1"/>
  <c r="AC205" i="1"/>
  <c r="AC237" i="1"/>
  <c r="AC261" i="1"/>
  <c r="AC277" i="1"/>
  <c r="AC293" i="1"/>
  <c r="AC309" i="1"/>
  <c r="AC325" i="1"/>
  <c r="AC340" i="1"/>
  <c r="AC349" i="1"/>
  <c r="AB7" i="1"/>
  <c r="AB15" i="1"/>
  <c r="AB23" i="1"/>
  <c r="AB31" i="1"/>
  <c r="AB39" i="1"/>
  <c r="AB47" i="1"/>
  <c r="AB55" i="1"/>
  <c r="AB63" i="1"/>
  <c r="AB71" i="1"/>
  <c r="AB79" i="1"/>
  <c r="AB85" i="1"/>
  <c r="AB90" i="1"/>
  <c r="AB95" i="1"/>
  <c r="AB101" i="1"/>
  <c r="AB106" i="1"/>
  <c r="AB111" i="1"/>
  <c r="AB117" i="1"/>
  <c r="AB122" i="1"/>
  <c r="AB127" i="1"/>
  <c r="AB133" i="1"/>
  <c r="AB138" i="1"/>
  <c r="AB143" i="1"/>
  <c r="AB149" i="1"/>
  <c r="AB154" i="1"/>
  <c r="AB159" i="1"/>
  <c r="AB165" i="1"/>
  <c r="AB170" i="1"/>
  <c r="AB175" i="1"/>
  <c r="AB181" i="1"/>
  <c r="AB186" i="1"/>
  <c r="AB191" i="1"/>
  <c r="AB197" i="1"/>
  <c r="AB202" i="1"/>
  <c r="AB207" i="1"/>
  <c r="AB213" i="1"/>
  <c r="AB218" i="1"/>
  <c r="AB223" i="1"/>
  <c r="AB228" i="1"/>
  <c r="AB232" i="1"/>
  <c r="AB236" i="1"/>
  <c r="AB240" i="1"/>
  <c r="AB244" i="1"/>
  <c r="AB248" i="1"/>
  <c r="AB252" i="1"/>
  <c r="AB256" i="1"/>
  <c r="AB260" i="1"/>
  <c r="AB264" i="1"/>
  <c r="AB268" i="1"/>
  <c r="AB272" i="1"/>
  <c r="AB276" i="1"/>
  <c r="AB280" i="1"/>
  <c r="AB284" i="1"/>
  <c r="AB288" i="1"/>
  <c r="AB292" i="1"/>
  <c r="AB296" i="1"/>
  <c r="AB300" i="1"/>
  <c r="AB304" i="1"/>
  <c r="AB308" i="1"/>
  <c r="AB312" i="1"/>
  <c r="AB316" i="1"/>
  <c r="AB320" i="1"/>
  <c r="AB324" i="1"/>
  <c r="AB328" i="1"/>
  <c r="AB332" i="1"/>
  <c r="AB336" i="1"/>
  <c r="Y8" i="1"/>
  <c r="Y12" i="1"/>
  <c r="Y16" i="1"/>
  <c r="Y20" i="1"/>
  <c r="Y24" i="1"/>
  <c r="Y28" i="1"/>
  <c r="Y32" i="1"/>
  <c r="Y36" i="1"/>
  <c r="Y40" i="1"/>
  <c r="Y44" i="1"/>
  <c r="Y48" i="1"/>
  <c r="Y52" i="1"/>
  <c r="Y56" i="1"/>
  <c r="Y60" i="1"/>
  <c r="Y64" i="1"/>
  <c r="Y68" i="1"/>
  <c r="Y72" i="1"/>
  <c r="Y76" i="1"/>
  <c r="Y80" i="1"/>
  <c r="Y84" i="1"/>
  <c r="Y88" i="1"/>
  <c r="Y92" i="1"/>
  <c r="Y96" i="1"/>
  <c r="Y100" i="1"/>
  <c r="Y104" i="1"/>
  <c r="Y108" i="1"/>
  <c r="Y112" i="1"/>
  <c r="Y116" i="1"/>
  <c r="Y120" i="1"/>
  <c r="Y124" i="1"/>
  <c r="Y128" i="1"/>
  <c r="Y132" i="1"/>
  <c r="Y136" i="1"/>
  <c r="Y140" i="1"/>
  <c r="Y144" i="1"/>
  <c r="Y148" i="1"/>
  <c r="Y152" i="1"/>
  <c r="Y156" i="1"/>
  <c r="Y160" i="1"/>
  <c r="Y164" i="1"/>
  <c r="Y168" i="1"/>
  <c r="Y172" i="1"/>
  <c r="Y176" i="1"/>
  <c r="Y180" i="1"/>
  <c r="Y184" i="1"/>
  <c r="Y188" i="1"/>
  <c r="Y192" i="1"/>
  <c r="Y196" i="1"/>
  <c r="Y200" i="1"/>
  <c r="Y204" i="1"/>
  <c r="Y208" i="1"/>
  <c r="Y212" i="1"/>
  <c r="Y216" i="1"/>
  <c r="Y220" i="1"/>
  <c r="Y224" i="1"/>
  <c r="Y228" i="1"/>
  <c r="Y232" i="1"/>
  <c r="Y236" i="1"/>
  <c r="Y240" i="1"/>
  <c r="Y244" i="1"/>
  <c r="Y248" i="1"/>
  <c r="Y252" i="1"/>
  <c r="Y256" i="1"/>
  <c r="Y260" i="1"/>
  <c r="Y264" i="1"/>
  <c r="Y268" i="1"/>
  <c r="Y272" i="1"/>
  <c r="Y276" i="1"/>
  <c r="Y280" i="1"/>
  <c r="Y284" i="1"/>
  <c r="Y288" i="1"/>
  <c r="Y292" i="1"/>
  <c r="Y296" i="1"/>
  <c r="Y300" i="1"/>
  <c r="Y304" i="1"/>
  <c r="Y308" i="1"/>
  <c r="Y312" i="1"/>
  <c r="Y316" i="1"/>
  <c r="Y320" i="1"/>
  <c r="Y324" i="1"/>
  <c r="Y328" i="1"/>
  <c r="Y332" i="1"/>
  <c r="Y336" i="1"/>
  <c r="Y340" i="1"/>
  <c r="Y344" i="1"/>
  <c r="Y348" i="1"/>
  <c r="Y352" i="1"/>
  <c r="Y356" i="1"/>
  <c r="Y360" i="1"/>
  <c r="AC21" i="1"/>
  <c r="AC53" i="1"/>
  <c r="AC85" i="1"/>
  <c r="AC117" i="1"/>
  <c r="AC149" i="1"/>
  <c r="AC181" i="1"/>
  <c r="AC213" i="1"/>
  <c r="AC245" i="1"/>
  <c r="AC265" i="1"/>
  <c r="AC281" i="1"/>
  <c r="AC297" i="1"/>
  <c r="AC313" i="1"/>
  <c r="AC329" i="1"/>
  <c r="AC342" i="1"/>
  <c r="AC351" i="1"/>
  <c r="AB9" i="1"/>
  <c r="AB17" i="1"/>
  <c r="AB25" i="1"/>
  <c r="AB33" i="1"/>
  <c r="AB41" i="1"/>
  <c r="AB49" i="1"/>
  <c r="AB57" i="1"/>
  <c r="AB65" i="1"/>
  <c r="AB73" i="1"/>
  <c r="AB81" i="1"/>
  <c r="AB86" i="1"/>
  <c r="AB91" i="1"/>
  <c r="AB97" i="1"/>
  <c r="AB102" i="1"/>
  <c r="AB107" i="1"/>
  <c r="AB113" i="1"/>
  <c r="AB118" i="1"/>
  <c r="AB123" i="1"/>
  <c r="AB129" i="1"/>
  <c r="AB134" i="1"/>
  <c r="AB139" i="1"/>
  <c r="AB145" i="1"/>
  <c r="AB150" i="1"/>
  <c r="AB155" i="1"/>
  <c r="AB161" i="1"/>
  <c r="AB166" i="1"/>
  <c r="AB171" i="1"/>
  <c r="AB177" i="1"/>
  <c r="AB182" i="1"/>
  <c r="AB187" i="1"/>
  <c r="AB193" i="1"/>
  <c r="AB198" i="1"/>
  <c r="AB203" i="1"/>
  <c r="AB209" i="1"/>
  <c r="AB214" i="1"/>
  <c r="AB219" i="1"/>
  <c r="AB225" i="1"/>
  <c r="AB229" i="1"/>
  <c r="AB233" i="1"/>
  <c r="AB237" i="1"/>
  <c r="AB241" i="1"/>
  <c r="AB245" i="1"/>
  <c r="AB249" i="1"/>
  <c r="AB253" i="1"/>
  <c r="AB257" i="1"/>
  <c r="AB261" i="1"/>
  <c r="AC29" i="1"/>
  <c r="AC93" i="1"/>
  <c r="AC157" i="1"/>
  <c r="AC221" i="1"/>
  <c r="AC269" i="1"/>
  <c r="AC301" i="1"/>
  <c r="AC333" i="1"/>
  <c r="AC353" i="1"/>
  <c r="AB19" i="1"/>
  <c r="AB35" i="1"/>
  <c r="AB51" i="1"/>
  <c r="AB67" i="1"/>
  <c r="AB82" i="1"/>
  <c r="AB93" i="1"/>
  <c r="AB103" i="1"/>
  <c r="AB114" i="1"/>
  <c r="AB125" i="1"/>
  <c r="AB135" i="1"/>
  <c r="AB146" i="1"/>
  <c r="AB157" i="1"/>
  <c r="AB167" i="1"/>
  <c r="AB178" i="1"/>
  <c r="AB189" i="1"/>
  <c r="AB199" i="1"/>
  <c r="AB210" i="1"/>
  <c r="AB221" i="1"/>
  <c r="AB230" i="1"/>
  <c r="AB238" i="1"/>
  <c r="AB246" i="1"/>
  <c r="AB254" i="1"/>
  <c r="AB262" i="1"/>
  <c r="AB267" i="1"/>
  <c r="AB273" i="1"/>
  <c r="AB278" i="1"/>
  <c r="AB283" i="1"/>
  <c r="AB289" i="1"/>
  <c r="AB294" i="1"/>
  <c r="AB299" i="1"/>
  <c r="AB305" i="1"/>
  <c r="AB310" i="1"/>
  <c r="AB315" i="1"/>
  <c r="AB321" i="1"/>
  <c r="AB326" i="1"/>
  <c r="AB331" i="1"/>
  <c r="AB337" i="1"/>
  <c r="Y6" i="1"/>
  <c r="Y11" i="1"/>
  <c r="Y17" i="1"/>
  <c r="Y22" i="1"/>
  <c r="Y27" i="1"/>
  <c r="Y33" i="1"/>
  <c r="Y38" i="1"/>
  <c r="Y43" i="1"/>
  <c r="Y49" i="1"/>
  <c r="Y54" i="1"/>
  <c r="Y59" i="1"/>
  <c r="Y65" i="1"/>
  <c r="Y70" i="1"/>
  <c r="Y75" i="1"/>
  <c r="Y81" i="1"/>
  <c r="Y86" i="1"/>
  <c r="Y91" i="1"/>
  <c r="Y97" i="1"/>
  <c r="Y102" i="1"/>
  <c r="Y107" i="1"/>
  <c r="Y113" i="1"/>
  <c r="Y118" i="1"/>
  <c r="Y123" i="1"/>
  <c r="Y129" i="1"/>
  <c r="Y134" i="1"/>
  <c r="Y139" i="1"/>
  <c r="Y145" i="1"/>
  <c r="Y150" i="1"/>
  <c r="Y155" i="1"/>
  <c r="Y161" i="1"/>
  <c r="Y166" i="1"/>
  <c r="Y171" i="1"/>
  <c r="Y177" i="1"/>
  <c r="Y182" i="1"/>
  <c r="Y187" i="1"/>
  <c r="Y193" i="1"/>
  <c r="Y198" i="1"/>
  <c r="Y203" i="1"/>
  <c r="Y209" i="1"/>
  <c r="Y214" i="1"/>
  <c r="Y219" i="1"/>
  <c r="Y225" i="1"/>
  <c r="Y230" i="1"/>
  <c r="Y235" i="1"/>
  <c r="Y241" i="1"/>
  <c r="Y246" i="1"/>
  <c r="Y251" i="1"/>
  <c r="Y257" i="1"/>
  <c r="Y262" i="1"/>
  <c r="Y267" i="1"/>
  <c r="Y273" i="1"/>
  <c r="Y278" i="1"/>
  <c r="Y283" i="1"/>
  <c r="Y289" i="1"/>
  <c r="Y294" i="1"/>
  <c r="Y299" i="1"/>
  <c r="Y305" i="1"/>
  <c r="Y310" i="1"/>
  <c r="Y315" i="1"/>
  <c r="Y321" i="1"/>
  <c r="Y326" i="1"/>
  <c r="Y331" i="1"/>
  <c r="Y337" i="1"/>
  <c r="Y342" i="1"/>
  <c r="Y347" i="1"/>
  <c r="Y353" i="1"/>
  <c r="Y358" i="1"/>
  <c r="Y363" i="1"/>
  <c r="Y367" i="1"/>
  <c r="Y371" i="1"/>
  <c r="Y375" i="1"/>
  <c r="Y379" i="1"/>
  <c r="Y383" i="1"/>
  <c r="Y387" i="1"/>
  <c r="Y391" i="1"/>
  <c r="Y395" i="1"/>
  <c r="Y399" i="1"/>
  <c r="Y403" i="1"/>
  <c r="Y407" i="1"/>
  <c r="Y411" i="1"/>
  <c r="Y415" i="1"/>
  <c r="Y419" i="1"/>
  <c r="Y423" i="1"/>
  <c r="Y427" i="1"/>
  <c r="Y431" i="1"/>
  <c r="Y435" i="1"/>
  <c r="Y439" i="1"/>
  <c r="Y443" i="1"/>
  <c r="Y447" i="1"/>
  <c r="Y451" i="1"/>
  <c r="Y455" i="1"/>
  <c r="Y459" i="1"/>
  <c r="Y463" i="1"/>
  <c r="Y467" i="1"/>
  <c r="Y471" i="1"/>
  <c r="Y475" i="1"/>
  <c r="Y479" i="1"/>
  <c r="Y483" i="1"/>
  <c r="Y487" i="1"/>
  <c r="Y491" i="1"/>
  <c r="Y495" i="1"/>
  <c r="Y499" i="1"/>
  <c r="Y503" i="1"/>
  <c r="Y507" i="1"/>
  <c r="Y511" i="1"/>
  <c r="Y515" i="1"/>
  <c r="Y519" i="1"/>
  <c r="Y523" i="1"/>
  <c r="Y527" i="1"/>
  <c r="Y531" i="1"/>
  <c r="Y535" i="1"/>
  <c r="Y539" i="1"/>
  <c r="Y543" i="1"/>
  <c r="Y547" i="1"/>
  <c r="Y551" i="1"/>
  <c r="AA8" i="1"/>
  <c r="AA12" i="1"/>
  <c r="AA16" i="1"/>
  <c r="AA20" i="1"/>
  <c r="AA24" i="1"/>
  <c r="AA28" i="1"/>
  <c r="AA32" i="1"/>
  <c r="AA36" i="1"/>
  <c r="AA40" i="1"/>
  <c r="AA44" i="1"/>
  <c r="AA48" i="1"/>
  <c r="AA52" i="1"/>
  <c r="AA56" i="1"/>
  <c r="AA60" i="1"/>
  <c r="AA64" i="1"/>
  <c r="AA68" i="1"/>
  <c r="AA72" i="1"/>
  <c r="AA76" i="1"/>
  <c r="AA80" i="1"/>
  <c r="AA84" i="1"/>
  <c r="AA88" i="1"/>
  <c r="AA92" i="1"/>
  <c r="AA96" i="1"/>
  <c r="AA100" i="1"/>
  <c r="AA104" i="1"/>
  <c r="AA108" i="1"/>
  <c r="AA112" i="1"/>
  <c r="AA116" i="1"/>
  <c r="AA120" i="1"/>
  <c r="AA124" i="1"/>
  <c r="AA128" i="1"/>
  <c r="AA132" i="1"/>
  <c r="AA136" i="1"/>
  <c r="AA140" i="1"/>
  <c r="AA144" i="1"/>
  <c r="AA148" i="1"/>
  <c r="AA152" i="1"/>
  <c r="AA156" i="1"/>
  <c r="AA160" i="1"/>
  <c r="AA164" i="1"/>
  <c r="AA168" i="1"/>
  <c r="AA172" i="1"/>
  <c r="AA176" i="1"/>
  <c r="AA180" i="1"/>
  <c r="AA184" i="1"/>
  <c r="AA188" i="1"/>
  <c r="AA192" i="1"/>
  <c r="AA196" i="1"/>
  <c r="AA200" i="1"/>
  <c r="AA204" i="1"/>
  <c r="AA208" i="1"/>
  <c r="AA212" i="1"/>
  <c r="AA216" i="1"/>
  <c r="AA220" i="1"/>
  <c r="AA224" i="1"/>
  <c r="AA228" i="1"/>
  <c r="AA232" i="1"/>
  <c r="AA236" i="1"/>
  <c r="AA240" i="1"/>
  <c r="AA244" i="1"/>
  <c r="AA248" i="1"/>
  <c r="AA252" i="1"/>
  <c r="AA256" i="1"/>
  <c r="AA260" i="1"/>
  <c r="AA264" i="1"/>
  <c r="AA268" i="1"/>
  <c r="AA272" i="1"/>
  <c r="AA276" i="1"/>
  <c r="AA280" i="1"/>
  <c r="AA284" i="1"/>
  <c r="AA288" i="1"/>
  <c r="AC37" i="1"/>
  <c r="AC101" i="1"/>
  <c r="AC165" i="1"/>
  <c r="AC229" i="1"/>
  <c r="AC273" i="1"/>
  <c r="AC305" i="1"/>
  <c r="AC337" i="1"/>
  <c r="AB5" i="1"/>
  <c r="AB21" i="1"/>
  <c r="AB37" i="1"/>
  <c r="AB53" i="1"/>
  <c r="AB69" i="1"/>
  <c r="AB83" i="1"/>
  <c r="AB94" i="1"/>
  <c r="AB105" i="1"/>
  <c r="AB115" i="1"/>
  <c r="AB126" i="1"/>
  <c r="AB137" i="1"/>
  <c r="AB147" i="1"/>
  <c r="AB158" i="1"/>
  <c r="AB169" i="1"/>
  <c r="AB179" i="1"/>
  <c r="AB190" i="1"/>
  <c r="AB201" i="1"/>
  <c r="AB211" i="1"/>
  <c r="AB222" i="1"/>
  <c r="AB231" i="1"/>
  <c r="AB239" i="1"/>
  <c r="AB247" i="1"/>
  <c r="AB255" i="1"/>
  <c r="AB263" i="1"/>
  <c r="AB269" i="1"/>
  <c r="AB274" i="1"/>
  <c r="AB279" i="1"/>
  <c r="AB285" i="1"/>
  <c r="AB290" i="1"/>
  <c r="AB295" i="1"/>
  <c r="AB301" i="1"/>
  <c r="AB306" i="1"/>
  <c r="AB311" i="1"/>
  <c r="AB317" i="1"/>
  <c r="AB322" i="1"/>
  <c r="AB327" i="1"/>
  <c r="AB333" i="1"/>
  <c r="AB338" i="1"/>
  <c r="Y7" i="1"/>
  <c r="Y13" i="1"/>
  <c r="Y18" i="1"/>
  <c r="Y23" i="1"/>
  <c r="Y29" i="1"/>
  <c r="Y34" i="1"/>
  <c r="Y39" i="1"/>
  <c r="Y45" i="1"/>
  <c r="Y50" i="1"/>
  <c r="Y55" i="1"/>
  <c r="Y61" i="1"/>
  <c r="Y66" i="1"/>
  <c r="Y71" i="1"/>
  <c r="Y77" i="1"/>
  <c r="Y82" i="1"/>
  <c r="Y87" i="1"/>
  <c r="Y93" i="1"/>
  <c r="Y98" i="1"/>
  <c r="Y103" i="1"/>
  <c r="Y109" i="1"/>
  <c r="Y114" i="1"/>
  <c r="Y119" i="1"/>
  <c r="Y125" i="1"/>
  <c r="Y130" i="1"/>
  <c r="Y135" i="1"/>
  <c r="Y141" i="1"/>
  <c r="Y146" i="1"/>
  <c r="Y151" i="1"/>
  <c r="Y157" i="1"/>
  <c r="Y162" i="1"/>
  <c r="Y167" i="1"/>
  <c r="Y173" i="1"/>
  <c r="Y178" i="1"/>
  <c r="Y183" i="1"/>
  <c r="Y189" i="1"/>
  <c r="Y194" i="1"/>
  <c r="Y199" i="1"/>
  <c r="Y205" i="1"/>
  <c r="Y210" i="1"/>
  <c r="Y215" i="1"/>
  <c r="Y221" i="1"/>
  <c r="Y226" i="1"/>
  <c r="Y231" i="1"/>
  <c r="Y237" i="1"/>
  <c r="Y242" i="1"/>
  <c r="Y247" i="1"/>
  <c r="Y253" i="1"/>
  <c r="Y258" i="1"/>
  <c r="Y263" i="1"/>
  <c r="Y269" i="1"/>
  <c r="Y274" i="1"/>
  <c r="Y279" i="1"/>
  <c r="Y285" i="1"/>
  <c r="Y290" i="1"/>
  <c r="Y295" i="1"/>
  <c r="Y301" i="1"/>
  <c r="Y306" i="1"/>
  <c r="Y311" i="1"/>
  <c r="Y317" i="1"/>
  <c r="Y322" i="1"/>
  <c r="Y327" i="1"/>
  <c r="Y333" i="1"/>
  <c r="Y338" i="1"/>
  <c r="Y343" i="1"/>
  <c r="Y349" i="1"/>
  <c r="Y354" i="1"/>
  <c r="Y359" i="1"/>
  <c r="Y364" i="1"/>
  <c r="Y368" i="1"/>
  <c r="Y372" i="1"/>
  <c r="Y376" i="1"/>
  <c r="Y380" i="1"/>
  <c r="Y384" i="1"/>
  <c r="Y388" i="1"/>
  <c r="Y392" i="1"/>
  <c r="Y396" i="1"/>
  <c r="Y400" i="1"/>
  <c r="Y404" i="1"/>
  <c r="Y408" i="1"/>
  <c r="Y412" i="1"/>
  <c r="Y416" i="1"/>
  <c r="Y420" i="1"/>
  <c r="Y424" i="1"/>
  <c r="Y428" i="1"/>
  <c r="Y432" i="1"/>
  <c r="Y436" i="1"/>
  <c r="Y440" i="1"/>
  <c r="Y444" i="1"/>
  <c r="Y448" i="1"/>
  <c r="Y452" i="1"/>
  <c r="Y456" i="1"/>
  <c r="Y460" i="1"/>
  <c r="Y464" i="1"/>
  <c r="Y468" i="1"/>
  <c r="Y472" i="1"/>
  <c r="Y476" i="1"/>
  <c r="Y480" i="1"/>
  <c r="Y484" i="1"/>
  <c r="Y488" i="1"/>
  <c r="Y492" i="1"/>
  <c r="Y496" i="1"/>
  <c r="Y500" i="1"/>
  <c r="Y504" i="1"/>
  <c r="Y508" i="1"/>
  <c r="Y512" i="1"/>
  <c r="Y516" i="1"/>
  <c r="Y520" i="1"/>
  <c r="Y524" i="1"/>
  <c r="Y528" i="1"/>
  <c r="Y532" i="1"/>
  <c r="Y536" i="1"/>
  <c r="Y540" i="1"/>
  <c r="Y544" i="1"/>
  <c r="Y548" i="1"/>
  <c r="Y552" i="1"/>
  <c r="AA5" i="1"/>
  <c r="AA9" i="1"/>
  <c r="AA13" i="1"/>
  <c r="AA17" i="1"/>
  <c r="AA21" i="1"/>
  <c r="AA25" i="1"/>
  <c r="AA29" i="1"/>
  <c r="AA33" i="1"/>
  <c r="AA37" i="1"/>
  <c r="AA41" i="1"/>
  <c r="AC61" i="1"/>
  <c r="AC125" i="1"/>
  <c r="AC189" i="1"/>
  <c r="AC253" i="1"/>
  <c r="AC285" i="1"/>
  <c r="AC317" i="1"/>
  <c r="AC345" i="1"/>
  <c r="AB11" i="1"/>
  <c r="AB27" i="1"/>
  <c r="AB43" i="1"/>
  <c r="AB59" i="1"/>
  <c r="AB75" i="1"/>
  <c r="AB87" i="1"/>
  <c r="AB98" i="1"/>
  <c r="AB109" i="1"/>
  <c r="AB119" i="1"/>
  <c r="AB130" i="1"/>
  <c r="AB141" i="1"/>
  <c r="AB151" i="1"/>
  <c r="AB162" i="1"/>
  <c r="AB173" i="1"/>
  <c r="AB183" i="1"/>
  <c r="AB194" i="1"/>
  <c r="AB205" i="1"/>
  <c r="AB215" i="1"/>
  <c r="AB226" i="1"/>
  <c r="AB234" i="1"/>
  <c r="AA286" i="1"/>
  <c r="AA281" i="1"/>
  <c r="AA275" i="1"/>
  <c r="AA270" i="1"/>
  <c r="AA265" i="1"/>
  <c r="AA259" i="1"/>
  <c r="AA254" i="1"/>
  <c r="AA249" i="1"/>
  <c r="AA243" i="1"/>
  <c r="AA238" i="1"/>
  <c r="AA233" i="1"/>
  <c r="AA227" i="1"/>
  <c r="AA222" i="1"/>
  <c r="AA217" i="1"/>
  <c r="AA211" i="1"/>
  <c r="AA206" i="1"/>
  <c r="AA201" i="1"/>
  <c r="AA195" i="1"/>
  <c r="AA190" i="1"/>
  <c r="AA185" i="1"/>
  <c r="AA179" i="1"/>
  <c r="AA174" i="1"/>
  <c r="AA169" i="1"/>
  <c r="AA163" i="1"/>
  <c r="AA158" i="1"/>
  <c r="AA153" i="1"/>
  <c r="AA147" i="1"/>
  <c r="AA142" i="1"/>
  <c r="AA137" i="1"/>
  <c r="AA131" i="1"/>
  <c r="AA126" i="1"/>
  <c r="AA121" i="1"/>
  <c r="AA115" i="1"/>
  <c r="AA110" i="1"/>
  <c r="AA105" i="1"/>
  <c r="AA99" i="1"/>
  <c r="AA94" i="1"/>
  <c r="AA89" i="1"/>
  <c r="AA83" i="1"/>
  <c r="AA78" i="1"/>
  <c r="AA73" i="1"/>
  <c r="AA67" i="1"/>
  <c r="AA62" i="1"/>
  <c r="AA57" i="1"/>
  <c r="AA51" i="1"/>
  <c r="AA46" i="1"/>
  <c r="AA39" i="1"/>
  <c r="AA31" i="1"/>
  <c r="AA23" i="1"/>
  <c r="AA15" i="1"/>
  <c r="AA7" i="1"/>
  <c r="Y550" i="1"/>
  <c r="Y542" i="1"/>
  <c r="Y534" i="1"/>
  <c r="Y526" i="1"/>
  <c r="Y518" i="1"/>
  <c r="Y510" i="1"/>
  <c r="Y502" i="1"/>
  <c r="Y494" i="1"/>
  <c r="Y486" i="1"/>
  <c r="Y478" i="1"/>
  <c r="Y470" i="1"/>
  <c r="Y462" i="1"/>
  <c r="Y454" i="1"/>
  <c r="Y446" i="1"/>
  <c r="Y438" i="1"/>
  <c r="Y430" i="1"/>
  <c r="Y422" i="1"/>
  <c r="Y414" i="1"/>
  <c r="Y406" i="1"/>
  <c r="Y398" i="1"/>
  <c r="Y390" i="1"/>
  <c r="Y382" i="1"/>
  <c r="Y374" i="1"/>
  <c r="Y366" i="1"/>
  <c r="Y357" i="1"/>
  <c r="Y346" i="1"/>
  <c r="Y335" i="1"/>
  <c r="Y325" i="1"/>
  <c r="Y314" i="1"/>
  <c r="Y303" i="1"/>
  <c r="Y293" i="1"/>
  <c r="Y282" i="1"/>
  <c r="Y271" i="1"/>
  <c r="Y261" i="1"/>
  <c r="Y250" i="1"/>
  <c r="Y239" i="1"/>
  <c r="Y229" i="1"/>
  <c r="Y218" i="1"/>
  <c r="Y207" i="1"/>
  <c r="Y197" i="1"/>
  <c r="Y186" i="1"/>
  <c r="Y175" i="1"/>
  <c r="Y165" i="1"/>
  <c r="Y154" i="1"/>
  <c r="Y143" i="1"/>
  <c r="Y133" i="1"/>
  <c r="Y122" i="1"/>
  <c r="Y111" i="1"/>
  <c r="Y101" i="1"/>
  <c r="Y90" i="1"/>
  <c r="Y79" i="1"/>
  <c r="Y69" i="1"/>
  <c r="Y58" i="1"/>
  <c r="Y47" i="1"/>
  <c r="Y37" i="1"/>
  <c r="Y26" i="1"/>
  <c r="Y15" i="1"/>
  <c r="Y5" i="1"/>
  <c r="AB330" i="1"/>
  <c r="AB319" i="1"/>
  <c r="AB309" i="1"/>
  <c r="AB298" i="1"/>
  <c r="AB287" i="1"/>
  <c r="AB277" i="1"/>
  <c r="AB266" i="1"/>
  <c r="AB251" i="1"/>
  <c r="AB235" i="1"/>
  <c r="AB195" i="1"/>
  <c r="AB153" i="1"/>
  <c r="AB110" i="1"/>
  <c r="AB61" i="1"/>
  <c r="AC347" i="1"/>
  <c r="AC197" i="1"/>
  <c r="AA285" i="1"/>
  <c r="AA279" i="1"/>
  <c r="AA274" i="1"/>
  <c r="AA269" i="1"/>
  <c r="AA263" i="1"/>
  <c r="AA258" i="1"/>
  <c r="AA253" i="1"/>
  <c r="AA247" i="1"/>
  <c r="AA242" i="1"/>
  <c r="AA237" i="1"/>
  <c r="AA231" i="1"/>
  <c r="AA226" i="1"/>
  <c r="AA221" i="1"/>
  <c r="AA215" i="1"/>
  <c r="AA210" i="1"/>
  <c r="AA205" i="1"/>
  <c r="AA199" i="1"/>
  <c r="AA194" i="1"/>
  <c r="AA189" i="1"/>
  <c r="AA183" i="1"/>
  <c r="AA178" i="1"/>
  <c r="AA173" i="1"/>
  <c r="AA167" i="1"/>
  <c r="AA162" i="1"/>
  <c r="AA157" i="1"/>
  <c r="AA151" i="1"/>
  <c r="AA146" i="1"/>
  <c r="AA141" i="1"/>
  <c r="AA135" i="1"/>
  <c r="AA130" i="1"/>
  <c r="AA125" i="1"/>
  <c r="AA119" i="1"/>
  <c r="AA114" i="1"/>
  <c r="AA109" i="1"/>
  <c r="AA103" i="1"/>
  <c r="AA98" i="1"/>
  <c r="AA93" i="1"/>
  <c r="AA87" i="1"/>
  <c r="AA82" i="1"/>
  <c r="AA77" i="1"/>
  <c r="AA71" i="1"/>
  <c r="AA66" i="1"/>
  <c r="AA61" i="1"/>
  <c r="AA55" i="1"/>
  <c r="AA50" i="1"/>
  <c r="AA45" i="1"/>
  <c r="AA38" i="1"/>
  <c r="AA30" i="1"/>
  <c r="AA22" i="1"/>
  <c r="AA14" i="1"/>
  <c r="AA6" i="1"/>
  <c r="Y549" i="1"/>
  <c r="Y541" i="1"/>
  <c r="Y533" i="1"/>
  <c r="Y525" i="1"/>
  <c r="Y517" i="1"/>
  <c r="Y509" i="1"/>
  <c r="Y501" i="1"/>
  <c r="Y493" i="1"/>
  <c r="Y485" i="1"/>
  <c r="Y477" i="1"/>
  <c r="Y469" i="1"/>
  <c r="Y461" i="1"/>
  <c r="Y453" i="1"/>
  <c r="Y445" i="1"/>
  <c r="Y437" i="1"/>
  <c r="Y429" i="1"/>
  <c r="Y421" i="1"/>
  <c r="Y413" i="1"/>
  <c r="Y405" i="1"/>
  <c r="Y397" i="1"/>
  <c r="Y389" i="1"/>
  <c r="Y381" i="1"/>
  <c r="Y373" i="1"/>
  <c r="Y365" i="1"/>
  <c r="Y355" i="1"/>
  <c r="Y345" i="1"/>
  <c r="Y334" i="1"/>
  <c r="Y323" i="1"/>
  <c r="Y313" i="1"/>
  <c r="Y302" i="1"/>
  <c r="Y291" i="1"/>
  <c r="Y281" i="1"/>
  <c r="Y270" i="1"/>
  <c r="Y259" i="1"/>
  <c r="Y249" i="1"/>
  <c r="Y238" i="1"/>
  <c r="Y227" i="1"/>
  <c r="Y217" i="1"/>
  <c r="Y206" i="1"/>
  <c r="Y195" i="1"/>
  <c r="Y185" i="1"/>
  <c r="Y174" i="1"/>
  <c r="Y163" i="1"/>
  <c r="Y153" i="1"/>
  <c r="Y142" i="1"/>
  <c r="Y131" i="1"/>
  <c r="Y121" i="1"/>
  <c r="Y110" i="1"/>
  <c r="Y99" i="1"/>
  <c r="Y89" i="1"/>
  <c r="Y78" i="1"/>
  <c r="Y67" i="1"/>
  <c r="Y57" i="1"/>
  <c r="Y46" i="1"/>
  <c r="Y35" i="1"/>
  <c r="Y25" i="1"/>
  <c r="Y14" i="1"/>
  <c r="AB339" i="1"/>
  <c r="AB329" i="1"/>
  <c r="AB318" i="1"/>
  <c r="AB307" i="1"/>
  <c r="AB297" i="1"/>
  <c r="AB286" i="1"/>
  <c r="AB275" i="1"/>
  <c r="AB265" i="1"/>
  <c r="AB250" i="1"/>
  <c r="AB227" i="1"/>
  <c r="AB185" i="1"/>
  <c r="AB142" i="1"/>
  <c r="AB99" i="1"/>
  <c r="AB45" i="1"/>
  <c r="AC321" i="1"/>
  <c r="AC133" i="1"/>
  <c r="Y319" i="1"/>
  <c r="Y309" i="1"/>
  <c r="Y298" i="1"/>
  <c r="Y287" i="1"/>
  <c r="Y277" i="1"/>
  <c r="Y266" i="1"/>
  <c r="Y255" i="1"/>
  <c r="Y245" i="1"/>
  <c r="Y234" i="1"/>
  <c r="Y223" i="1"/>
  <c r="Y213" i="1"/>
  <c r="Y202" i="1"/>
  <c r="Y191" i="1"/>
  <c r="Y181" i="1"/>
  <c r="Y170" i="1"/>
  <c r="Y159" i="1"/>
  <c r="Y149" i="1"/>
  <c r="Y138" i="1"/>
  <c r="Y127" i="1"/>
  <c r="Y117" i="1"/>
  <c r="Y106" i="1"/>
  <c r="Y95" i="1"/>
  <c r="Y85" i="1"/>
  <c r="Y74" i="1"/>
  <c r="Y63" i="1"/>
  <c r="Y53" i="1"/>
  <c r="Y42" i="1"/>
  <c r="Y31" i="1"/>
  <c r="Y21" i="1"/>
  <c r="Y10" i="1"/>
  <c r="AB335" i="1"/>
  <c r="AB325" i="1"/>
  <c r="AB314" i="1"/>
  <c r="AB303" i="1"/>
  <c r="AB293" i="1"/>
  <c r="AB282" i="1"/>
  <c r="AB271" i="1"/>
  <c r="AB259" i="1"/>
  <c r="AB243" i="1"/>
  <c r="AB217" i="1"/>
  <c r="AB174" i="1"/>
  <c r="AB131" i="1"/>
  <c r="AB89" i="1"/>
  <c r="AB29" i="1"/>
  <c r="AC289" i="1"/>
  <c r="AC69" i="1"/>
  <c r="AC4" i="1" l="1"/>
  <c r="AB4" i="1"/>
  <c r="AD4" i="1" s="1"/>
  <c r="Y4" i="1"/>
  <c r="AA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<sst xmlns="http://schemas.openxmlformats.org/spreadsheetml/2006/main" count="37" uniqueCount="37">
  <si>
    <t>MiniLab</t>
  </si>
  <si>
    <t>1/21/2022</t>
  </si>
  <si>
    <t>atmospheric pressure =1035mb = 103.5kPa</t>
  </si>
  <si>
    <t>Time (sec)</t>
  </si>
  <si>
    <t>T1 (C)</t>
  </si>
  <si>
    <t>T2 (C)</t>
  </si>
  <si>
    <t>T3 (C)</t>
  </si>
  <si>
    <t>T4 (C)</t>
  </si>
  <si>
    <t>P1 (kPa)</t>
  </si>
  <si>
    <t>P2 (kPa)</t>
  </si>
  <si>
    <t>P3 (kPa)</t>
  </si>
  <si>
    <t>P4 (kPa)</t>
  </si>
  <si>
    <t>Fuel Flow  (L/hr)</t>
  </si>
  <si>
    <t>RPM</t>
  </si>
  <si>
    <t>Thrust (N)</t>
  </si>
  <si>
    <t>Fuel flow(m^3/s)</t>
  </si>
  <si>
    <t>h01 [kJ/kg]</t>
  </si>
  <si>
    <t>h02 [kJ/kg]</t>
  </si>
  <si>
    <t>h03 [kJ/kg]</t>
  </si>
  <si>
    <t>h04 [kJ/kg]</t>
  </si>
  <si>
    <t>P02/P01 (absolute)</t>
  </si>
  <si>
    <t>P03/P04 (absolute)</t>
  </si>
  <si>
    <t>Compressor work  [kJ/kg]</t>
  </si>
  <si>
    <t>Turbine work [kJ/kg]</t>
  </si>
  <si>
    <t>Heat into the system [kJ/kg]</t>
  </si>
  <si>
    <t>Overall loss</t>
  </si>
  <si>
    <t>Isen Eff of Compressor</t>
  </si>
  <si>
    <t>Isen Eff Turbine</t>
  </si>
  <si>
    <t>T04 for r 𝜂 = 0.72</t>
  </si>
  <si>
    <t>T04 for r 𝜂 = 0.86</t>
  </si>
  <si>
    <t>T04 for r 𝜂 = 0.91</t>
  </si>
  <si>
    <t>Turbine velocity for 𝜂 = 0.86 [m/s]</t>
  </si>
  <si>
    <t>inlet  density  [kg/m3]</t>
  </si>
  <si>
    <t>inlet mass flow [kg/s]</t>
  </si>
  <si>
    <t>exit mass flow [kg/s]</t>
  </si>
  <si>
    <t>Fuel/Air</t>
  </si>
  <si>
    <t>exit Velocity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</si>
</sst>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9" fontId="0" fillId="0" borderId="0" xfId="0" applyNumberFormat="1"/>
    <xf numFmtId="0" fontId="0" fillId="33" borderId="0" xfId="0" applyFill="1"/>
    <xf numFmtId="2" fontId="0" fillId="0" borderId="0" xfId="0" applyNumberFormat="1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2" fontId="0" fillId="0" borderId="0" xfId="0" applyNumberFormat="1" applyAlignment="1">
      <alignment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53"/>
  <sheetViews>
    <sheetView tabSelected="1" zoomScale="60" zoomScaleNormal="60" workbookViewId="0">
      <selection activeCell="P7" sqref="P7"/>
    </sheetView>
  </sheetViews>
  <sheetFormatPr defaultColWidth="8.85546875" defaultRowHeight="15" x14ac:dyDescent="0.25"/>
  <cols>
    <col min="1" max="1" width="11.7109375" customWidth="1"/>
    <col min="2" max="3" width="11.42578125" customWidth="1"/>
    <col min="4" max="4" width="11.28515625" customWidth="1"/>
    <col min="13" max="13" width="15.7109375" bestFit="1" customWidth="1"/>
    <col min="14" max="14" width="10.28515625" customWidth="1"/>
    <col min="15" max="15" width="11" customWidth="1"/>
    <col min="16" max="16" width="10" customWidth="1"/>
    <col min="17" max="17" width="11.42578125" customWidth="1"/>
    <col min="18" max="18" width="19.28515625" customWidth="1"/>
    <col min="19" max="19" width="20.42578125" customWidth="1"/>
    <col min="20" max="20" width="20.7109375" customWidth="1"/>
    <col min="21" max="21" width="15.7109375" customWidth="1"/>
    <col min="22" max="22" width="21.42578125" customWidth="1"/>
    <col min="23" max="23" width="15.28515625" customWidth="1"/>
    <col min="24" max="25" width="22" customWidth="1"/>
    <col min="27" max="27" width="14.5703125" customWidth="1"/>
    <col min="28" max="28" width="19.7109375" customWidth="1"/>
    <col min="29" max="29" width="12.140625" customWidth="1"/>
    <col min="30" max="30" width="10.7109375" customWidth="1"/>
    <col min="31" max="31" width="11" customWidth="1"/>
    <col min="32" max="32" width="13.28515625" customWidth="1"/>
    <col min="33" max="33" width="13.42578125" customWidth="1"/>
    <col min="35" max="35" width="11.140625" customWidth="1"/>
  </cols>
  <sheetData>
    <row r="1" spans="1:35" x14ac:dyDescent="0.25">
      <c r="A1" t="s">
        <v>0</v>
      </c>
      <c r="B1" t="s">
        <v>1</v>
      </c>
      <c r="C1" s="1">
        <v>0.42930555555555555</v>
      </c>
      <c r="F1" t="s">
        <v>2</v>
      </c>
    </row>
    <row r="3" spans="1:35" ht="60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AA3" s="2" t="s">
        <v>28</v>
      </c>
      <c r="AB3" s="2" t="s">
        <v>29</v>
      </c>
      <c r="AC3" s="2" t="s">
        <v>30</v>
      </c>
      <c r="AD3" s="4" t="s">
        <v>31</v>
      </c>
      <c r="AE3" s="5" t="s">
        <v>32</v>
      </c>
      <c r="AF3" s="4" t="s">
        <v>33</v>
      </c>
      <c r="AG3" s="4" t="s">
        <v>34</v>
      </c>
      <c r="AH3" s="2" t="s">
        <v>35</v>
      </c>
      <c r="AI3" s="4" t="s">
        <v>36</v>
      </c>
    </row>
    <row r="4" spans="1:35" ht="25.5" customHeight="1" x14ac:dyDescent="0.25">
      <c r="A4">
        <v>23.771999999999998</v>
      </c>
      <c r="B4">
        <v>7.4939999999999998</v>
      </c>
      <c r="C4">
        <v>78.552999999999997</v>
      </c>
      <c r="D4">
        <v>523.29300000000001</v>
      </c>
      <c r="E4">
        <v>349.98899999999998</v>
      </c>
      <c r="F4">
        <v>2.577</v>
      </c>
      <c r="G4">
        <v>81.578000000000003</v>
      </c>
      <c r="H4">
        <v>80.063000000000002</v>
      </c>
      <c r="I4">
        <v>5.3970000000000002</v>
      </c>
      <c r="J4">
        <v>7.9109999999999996</v>
      </c>
      <c r="K4">
        <v>54323.343000000001</v>
      </c>
      <c r="L4">
        <v>20.577000000000002</v>
      </c>
      <c r="M4">
        <f>(J4/1000)/3600</f>
        <v>2.1974999999999997E-6</v>
      </c>
      <c r="N4" cm="1">
        <f t="array" ref="N4:N753">(B4:B753+273.15)*1.005</f>
        <v>282.04721999999998</v>
      </c>
      <c r="O4" cm="1">
        <f t="array" ref="O4:O753">(C4:C753+273.15)*1.005</f>
        <v>353.46151499999996</v>
      </c>
      <c r="P4" cm="1">
        <f t="array" ref="P4:P753">(D4:D753+ 273.15)*1.148</f>
        <v>914.31656399999986</v>
      </c>
      <c r="Q4" cm="1">
        <f t="array" ref="Q4:Q753">(E4:E753+273.15)*1.148</f>
        <v>715.36357199999986</v>
      </c>
      <c r="R4">
        <f>(G4+103.5)/(F4+103.5)</f>
        <v>1.7447514541323756</v>
      </c>
      <c r="S4" cm="1">
        <f t="array" ref="S4:S753">(H4:H753+103.5)/(I4:I753+103.5)</f>
        <v>1.6856570888086906</v>
      </c>
      <c r="T4" cm="1">
        <f t="array" ref="T4:T753">(O4:O753)-(N4:N753)</f>
        <v>71.414294999999981</v>
      </c>
      <c r="U4" cm="1">
        <f t="array" ref="U4:U753">(P4:P753)-(Q4:Q753)</f>
        <v>198.95299199999999</v>
      </c>
      <c r="V4" cm="1">
        <f t="array" ref="V4:V753">(P4:P753)-(O4:O753)</f>
        <v>560.85504899999989</v>
      </c>
      <c r="W4" cm="1">
        <f t="array" ref="W4:W753">(U4:U753-T4:T753)/V4:V753</f>
        <v>0.22740046154064317</v>
      </c>
      <c r="X4">
        <f>((B4+273.15)/(C4-B4)*((R4^(0.4/1.4)-1)))</f>
        <v>0.680788496117401</v>
      </c>
      <c r="Y4">
        <f>(D4-E4)/((D4+273.15)*(1-(1/S4^(0.333/1.333))))</f>
        <v>1.7793321478284156</v>
      </c>
      <c r="AA4" s="3">
        <f>(D4+273.15)-((0.72*(D4+273.15))*(1-(1/S4^(0.333/1.333))))</f>
        <v>726.3161941912665</v>
      </c>
      <c r="AB4" s="6">
        <f>(D4+273.15)-((0.86*(D4+273.15))*(1-(1/S4^(0.333/1.333))))</f>
        <v>712.68042639512385</v>
      </c>
      <c r="AC4" s="3">
        <f>(D4+273.15)-((0.91*(D4+273.15))*(1-(1/S4^(0.333/1.333))))</f>
        <v>707.81050932507287</v>
      </c>
      <c r="AD4">
        <f>SQRT(2*(1148)*(AB4-(E4+273.15)))</f>
        <v>453.417153406446</v>
      </c>
      <c r="AE4">
        <f>103500/(287*(12.85+273.15))</f>
        <v>1.2609341877634561</v>
      </c>
      <c r="AF4">
        <f>(103500/(287*(12.85+273.15))*(PI()*(0.033^2)*10))</f>
        <v>4.3139009816413589E-2</v>
      </c>
      <c r="AG4">
        <f>(AF4+(M4*770))</f>
        <v>4.483108481641359E-2</v>
      </c>
      <c r="AH4">
        <f>((M4*770)/AF4)</f>
        <v>3.9223779293983629E-2</v>
      </c>
      <c r="AI4" s="7">
        <f>((L4)+(AF4*AD4)/AG4)</f>
        <v>456.88067437750851</v>
      </c>
    </row>
    <row r="5" spans="1:35" x14ac:dyDescent="0.25">
      <c r="A5">
        <v>24.771999999999998</v>
      </c>
      <c r="B5">
        <v>7.4820000000000002</v>
      </c>
      <c r="C5">
        <v>78.588999999999999</v>
      </c>
      <c r="D5">
        <v>524.447</v>
      </c>
      <c r="E5">
        <v>349.928</v>
      </c>
      <c r="F5">
        <v>2.569</v>
      </c>
      <c r="G5">
        <v>81.441000000000003</v>
      </c>
      <c r="H5">
        <v>80.084999999999994</v>
      </c>
      <c r="I5">
        <v>5.3520000000000003</v>
      </c>
      <c r="J5">
        <v>7.798</v>
      </c>
      <c r="K5">
        <v>54342.243999999999</v>
      </c>
      <c r="L5">
        <v>19.995999999999999</v>
      </c>
      <c r="M5">
        <f t="shared" ref="M5:M68" si="0">(J5/1000)/3600</f>
        <v>2.1661111111111113E-6</v>
      </c>
      <c r="N5">
        <v>282.03515999999996</v>
      </c>
      <c r="O5">
        <v>353.49769499999996</v>
      </c>
      <c r="P5">
        <v>915.64135599999986</v>
      </c>
      <c r="Q5">
        <v>715.29354399999988</v>
      </c>
      <c r="R5">
        <f t="shared" ref="R5:R68" si="1">(G5+103.5)/(F5+103.5)</f>
        <v>1.7435914357635125</v>
      </c>
      <c r="S5">
        <v>1.6865560577665084</v>
      </c>
      <c r="T5">
        <v>71.462535000000003</v>
      </c>
      <c r="U5">
        <v>200.34781199999998</v>
      </c>
      <c r="V5">
        <v>562.14366099999984</v>
      </c>
      <c r="W5">
        <v>0.22927462487209299</v>
      </c>
      <c r="X5">
        <f t="shared" ref="X5:X68" si="2">((B5+273.15)/(C5-B5)*((R5^(0.4/1.4)-1)))</f>
        <v>0.67942070740420213</v>
      </c>
      <c r="Y5">
        <f t="shared" ref="Y5:Y68" si="3">(D5-E5)/((D5+273.15)*(1-(1/S5^(0.333/1.333))))</f>
        <v>1.7875056040972326</v>
      </c>
      <c r="AA5" s="3">
        <f t="shared" ref="AA5:AA68" si="4">(D5+273.15)-((0.72*(D5+273.15))*(1-(1/S5^(0.333/1.333))))</f>
        <v>727.30145535276483</v>
      </c>
      <c r="AB5" s="6">
        <f t="shared" ref="AB5:AB68" si="5">(D5+273.15)-((0.86*(D5+273.15))*(1-(1/S5^(0.333/1.333))))</f>
        <v>713.63287722691359</v>
      </c>
      <c r="AC5" s="3">
        <f t="shared" ref="AC5:AC68" si="6">(D5+273.15)-((0.91*(D5+273.15))*(1-(1/S5^(0.333/1.333))))</f>
        <v>708.75124218196675</v>
      </c>
      <c r="AD5">
        <f t="shared" ref="AD5:AD68" si="7">SQRT(2*(1148)*(AB5-(E5+273.15)))</f>
        <v>455.97587448569431</v>
      </c>
      <c r="AE5">
        <f t="shared" ref="AE5:AE68" si="8">103500/(287*(12.85+273.15))</f>
        <v>1.2609341877634561</v>
      </c>
      <c r="AF5">
        <f t="shared" ref="AF5:AF68" si="9">(103500/(287*(12.85+273.15))*(PI()*(0.033^2)*10))</f>
        <v>4.3139009816413589E-2</v>
      </c>
      <c r="AG5">
        <f t="shared" ref="AG5:AG68" si="10">(AF5+(M5*770))</f>
        <v>4.4806915371969146E-2</v>
      </c>
      <c r="AH5">
        <f t="shared" ref="AH5:AH68" si="11">((M5*770)/AF5)</f>
        <v>3.8663510420235671E-2</v>
      </c>
      <c r="AI5" s="7">
        <f t="shared" ref="AI5:AI68" si="12">((L5)+(AF5*AD5)/AG5)</f>
        <v>458.99849687332312</v>
      </c>
    </row>
    <row r="6" spans="1:35" x14ac:dyDescent="0.25">
      <c r="A6">
        <v>25.771999999999998</v>
      </c>
      <c r="B6">
        <v>7.4379999999999997</v>
      </c>
      <c r="C6">
        <v>78.671000000000006</v>
      </c>
      <c r="D6">
        <v>524.52099999999996</v>
      </c>
      <c r="E6">
        <v>349.88900000000001</v>
      </c>
      <c r="F6">
        <v>2.5790000000000002</v>
      </c>
      <c r="G6">
        <v>81.549000000000007</v>
      </c>
      <c r="H6">
        <v>80.064999999999998</v>
      </c>
      <c r="I6">
        <v>5.3959999999999999</v>
      </c>
      <c r="J6">
        <v>7.9489999999999998</v>
      </c>
      <c r="K6">
        <v>54363.764000000003</v>
      </c>
      <c r="L6">
        <v>20.199000000000002</v>
      </c>
      <c r="M6">
        <f t="shared" si="0"/>
        <v>2.2080555555555553E-6</v>
      </c>
      <c r="N6">
        <v>281.99093999999991</v>
      </c>
      <c r="O6">
        <v>353.58010499999995</v>
      </c>
      <c r="P6">
        <v>915.7263079999999</v>
      </c>
      <c r="Q6">
        <v>715.24877199999992</v>
      </c>
      <c r="R6">
        <f t="shared" si="1"/>
        <v>1.7444451776506191</v>
      </c>
      <c r="S6">
        <v>1.6856909344695856</v>
      </c>
      <c r="T6">
        <v>71.589165000000037</v>
      </c>
      <c r="U6">
        <v>200.47753599999999</v>
      </c>
      <c r="V6">
        <v>562.14620300000001</v>
      </c>
      <c r="W6">
        <v>0.22927909200873842</v>
      </c>
      <c r="X6">
        <f t="shared" si="2"/>
        <v>0.67875839925169212</v>
      </c>
      <c r="Y6">
        <f t="shared" si="3"/>
        <v>1.7901421929069303</v>
      </c>
      <c r="AA6" s="3">
        <f t="shared" si="4"/>
        <v>727.43354037349695</v>
      </c>
      <c r="AB6" s="6">
        <f t="shared" si="5"/>
        <v>713.7762565572325</v>
      </c>
      <c r="AC6" s="3">
        <f t="shared" si="6"/>
        <v>708.89865519428099</v>
      </c>
      <c r="AD6">
        <f t="shared" si="7"/>
        <v>456.43481577921489</v>
      </c>
      <c r="AE6">
        <f t="shared" si="8"/>
        <v>1.2609341877634561</v>
      </c>
      <c r="AF6">
        <f t="shared" si="9"/>
        <v>4.3139009816413589E-2</v>
      </c>
      <c r="AG6">
        <f t="shared" si="10"/>
        <v>4.4839212594191366E-2</v>
      </c>
      <c r="AH6">
        <f t="shared" si="11"/>
        <v>3.9412188295774982E-2</v>
      </c>
      <c r="AI6" s="7">
        <f t="shared" si="12"/>
        <v>459.32682716891895</v>
      </c>
    </row>
    <row r="7" spans="1:35" x14ac:dyDescent="0.25">
      <c r="A7">
        <v>26.771999999999998</v>
      </c>
      <c r="B7">
        <v>7.4809999999999999</v>
      </c>
      <c r="C7">
        <v>78.727999999999994</v>
      </c>
      <c r="D7">
        <v>522.28300000000002</v>
      </c>
      <c r="E7">
        <v>350.238</v>
      </c>
      <c r="F7">
        <v>2.593</v>
      </c>
      <c r="G7">
        <v>81.094999999999999</v>
      </c>
      <c r="H7">
        <v>79.754999999999995</v>
      </c>
      <c r="I7">
        <v>5.71</v>
      </c>
      <c r="J7">
        <v>8.6660000000000004</v>
      </c>
      <c r="K7">
        <v>54386.521999999997</v>
      </c>
      <c r="L7">
        <v>20.396000000000001</v>
      </c>
      <c r="M7">
        <f t="shared" si="0"/>
        <v>2.4072222222222224E-6</v>
      </c>
      <c r="N7">
        <v>282.03415499999994</v>
      </c>
      <c r="O7">
        <v>353.63738999999993</v>
      </c>
      <c r="P7">
        <v>913.15708399999994</v>
      </c>
      <c r="Q7">
        <v>715.64942399999984</v>
      </c>
      <c r="R7">
        <f t="shared" si="1"/>
        <v>1.7399357167767902</v>
      </c>
      <c r="S7">
        <v>1.6780056771357934</v>
      </c>
      <c r="T7">
        <v>71.603234999999984</v>
      </c>
      <c r="U7">
        <v>197.5076600000001</v>
      </c>
      <c r="V7">
        <v>559.51969400000007</v>
      </c>
      <c r="W7">
        <v>0.22502232959828594</v>
      </c>
      <c r="X7">
        <f t="shared" si="2"/>
        <v>0.67531540689132219</v>
      </c>
      <c r="Y7">
        <f t="shared" si="3"/>
        <v>1.7832024869822227</v>
      </c>
      <c r="AA7" s="3">
        <f t="shared" si="4"/>
        <v>725.96674425826779</v>
      </c>
      <c r="AB7" s="6">
        <f t="shared" si="5"/>
        <v>712.45941675293091</v>
      </c>
      <c r="AC7" s="3">
        <f t="shared" si="6"/>
        <v>707.63537121531067</v>
      </c>
      <c r="AD7">
        <f t="shared" si="7"/>
        <v>452.225577411019</v>
      </c>
      <c r="AE7">
        <f t="shared" si="8"/>
        <v>1.2609341877634561</v>
      </c>
      <c r="AF7">
        <f t="shared" si="9"/>
        <v>4.3139009816413589E-2</v>
      </c>
      <c r="AG7">
        <f t="shared" si="10"/>
        <v>4.4992570927524698E-2</v>
      </c>
      <c r="AH7">
        <f t="shared" si="11"/>
        <v>4.2967168671680218E-2</v>
      </c>
      <c r="AI7" s="7">
        <f t="shared" si="12"/>
        <v>453.99121852156873</v>
      </c>
    </row>
    <row r="8" spans="1:35" x14ac:dyDescent="0.25">
      <c r="A8">
        <v>27.771999999999998</v>
      </c>
      <c r="B8">
        <v>7.42</v>
      </c>
      <c r="C8">
        <v>78.677000000000007</v>
      </c>
      <c r="D8">
        <v>519.74099999999999</v>
      </c>
      <c r="E8">
        <v>350.48399999999998</v>
      </c>
      <c r="F8">
        <v>2.581</v>
      </c>
      <c r="G8">
        <v>81.495999999999995</v>
      </c>
      <c r="H8">
        <v>80.186999999999998</v>
      </c>
      <c r="I8">
        <v>5.3360000000000003</v>
      </c>
      <c r="J8">
        <v>7.9160000000000004</v>
      </c>
      <c r="K8">
        <v>54385.260999999999</v>
      </c>
      <c r="L8">
        <v>20.094999999999999</v>
      </c>
      <c r="M8">
        <f t="shared" si="0"/>
        <v>2.1988888888888892E-6</v>
      </c>
      <c r="N8">
        <v>281.97284999999994</v>
      </c>
      <c r="O8">
        <v>353.58613499999996</v>
      </c>
      <c r="P8">
        <v>910.23886799999991</v>
      </c>
      <c r="Q8">
        <v>715.93183199999999</v>
      </c>
      <c r="R8">
        <f t="shared" si="1"/>
        <v>1.7439126705064996</v>
      </c>
      <c r="S8">
        <v>1.687741188577309</v>
      </c>
      <c r="T8">
        <v>71.613285000000019</v>
      </c>
      <c r="U8">
        <v>194.30703599999993</v>
      </c>
      <c r="V8">
        <v>556.6527329999999</v>
      </c>
      <c r="W8">
        <v>0.22041345299565776</v>
      </c>
      <c r="X8">
        <f t="shared" si="2"/>
        <v>0.67808362899791697</v>
      </c>
      <c r="Y8">
        <f t="shared" si="3"/>
        <v>1.7417081080906449</v>
      </c>
      <c r="AA8" s="3">
        <f t="shared" si="4"/>
        <v>722.92230694867396</v>
      </c>
      <c r="AB8" s="6">
        <f t="shared" si="5"/>
        <v>709.31728329980501</v>
      </c>
      <c r="AC8" s="3">
        <f t="shared" si="6"/>
        <v>704.45834628235184</v>
      </c>
      <c r="AD8">
        <f t="shared" si="7"/>
        <v>443.54122520499971</v>
      </c>
      <c r="AE8">
        <f t="shared" si="8"/>
        <v>1.2609341877634561</v>
      </c>
      <c r="AF8">
        <f t="shared" si="9"/>
        <v>4.3139009816413589E-2</v>
      </c>
      <c r="AG8">
        <f t="shared" si="10"/>
        <v>4.4832154260858036E-2</v>
      </c>
      <c r="AH8">
        <f t="shared" si="11"/>
        <v>3.9248569952114079E-2</v>
      </c>
      <c r="AI8" s="7">
        <f t="shared" si="12"/>
        <v>446.88531564646451</v>
      </c>
    </row>
    <row r="9" spans="1:35" x14ac:dyDescent="0.25">
      <c r="A9">
        <v>28.771999999999998</v>
      </c>
      <c r="B9">
        <v>7.3310000000000004</v>
      </c>
      <c r="C9">
        <v>78.861999999999995</v>
      </c>
      <c r="D9">
        <v>520.12900000000002</v>
      </c>
      <c r="E9">
        <v>350.43400000000003</v>
      </c>
      <c r="F9">
        <v>2.597</v>
      </c>
      <c r="G9">
        <v>81.688000000000002</v>
      </c>
      <c r="H9">
        <v>80.183000000000007</v>
      </c>
      <c r="I9">
        <v>5.4779999999999998</v>
      </c>
      <c r="J9">
        <v>8.5909999999999993</v>
      </c>
      <c r="K9">
        <v>54410.970999999998</v>
      </c>
      <c r="L9">
        <v>21.29</v>
      </c>
      <c r="M9">
        <f t="shared" si="0"/>
        <v>2.3863888888888887E-6</v>
      </c>
      <c r="N9">
        <v>281.88340499999998</v>
      </c>
      <c r="O9">
        <v>353.7720599999999</v>
      </c>
      <c r="P9">
        <v>910.68429199999991</v>
      </c>
      <c r="Q9">
        <v>715.87443199999996</v>
      </c>
      <c r="R9">
        <f t="shared" si="1"/>
        <v>1.7454593438080248</v>
      </c>
      <c r="S9">
        <v>1.685505331351282</v>
      </c>
      <c r="T9">
        <v>71.888654999999915</v>
      </c>
      <c r="U9">
        <v>194.80985999999996</v>
      </c>
      <c r="V9">
        <v>556.91223200000002</v>
      </c>
      <c r="W9">
        <v>0.220719168904877</v>
      </c>
      <c r="X9">
        <f t="shared" si="2"/>
        <v>0.67643630554082157</v>
      </c>
      <c r="Y9">
        <f t="shared" si="3"/>
        <v>1.7495096356297797</v>
      </c>
      <c r="AA9" s="3">
        <f t="shared" si="4"/>
        <v>723.44205968728306</v>
      </c>
      <c r="AB9" s="6">
        <f t="shared" si="5"/>
        <v>709.86265462647702</v>
      </c>
      <c r="AC9" s="3">
        <f t="shared" si="6"/>
        <v>705.01286710476063</v>
      </c>
      <c r="AD9">
        <f t="shared" si="7"/>
        <v>445.07953336722989</v>
      </c>
      <c r="AE9">
        <f t="shared" si="8"/>
        <v>1.2609341877634561</v>
      </c>
      <c r="AF9">
        <f t="shared" si="9"/>
        <v>4.3139009816413589E-2</v>
      </c>
      <c r="AG9">
        <f t="shared" si="10"/>
        <v>4.4976529260858031E-2</v>
      </c>
      <c r="AH9">
        <f t="shared" si="11"/>
        <v>4.2595308799723598E-2</v>
      </c>
      <c r="AI9" s="7">
        <f t="shared" si="12"/>
        <v>448.18577596471528</v>
      </c>
    </row>
    <row r="10" spans="1:35" x14ac:dyDescent="0.25">
      <c r="A10">
        <v>29.771999999999998</v>
      </c>
      <c r="B10">
        <v>7.4080000000000004</v>
      </c>
      <c r="C10">
        <v>78.831000000000003</v>
      </c>
      <c r="D10">
        <v>520.322</v>
      </c>
      <c r="E10">
        <v>350.22199999999998</v>
      </c>
      <c r="F10">
        <v>2.6179999999999999</v>
      </c>
      <c r="G10">
        <v>81.808000000000007</v>
      </c>
      <c r="H10">
        <v>80.38</v>
      </c>
      <c r="I10">
        <v>5.4119999999999999</v>
      </c>
      <c r="J10">
        <v>8.7050000000000001</v>
      </c>
      <c r="K10">
        <v>54429.362000000001</v>
      </c>
      <c r="L10">
        <v>20.812999999999999</v>
      </c>
      <c r="M10">
        <f t="shared" si="0"/>
        <v>2.4180555555555558E-6</v>
      </c>
      <c r="N10">
        <v>281.96078999999997</v>
      </c>
      <c r="O10">
        <v>353.74090499999994</v>
      </c>
      <c r="P10">
        <v>910.90585599999986</v>
      </c>
      <c r="Q10">
        <v>715.63105599999994</v>
      </c>
      <c r="R10">
        <f t="shared" si="1"/>
        <v>1.7462447464143689</v>
      </c>
      <c r="S10">
        <v>1.6883355369472601</v>
      </c>
      <c r="T10">
        <v>71.780114999999967</v>
      </c>
      <c r="U10">
        <v>195.27479999999991</v>
      </c>
      <c r="V10">
        <v>557.16495099999997</v>
      </c>
      <c r="W10">
        <v>0.22164833731617831</v>
      </c>
      <c r="X10">
        <f t="shared" si="2"/>
        <v>0.6782371724739884</v>
      </c>
      <c r="Y10">
        <f t="shared" si="3"/>
        <v>1.7480005096351174</v>
      </c>
      <c r="AA10" s="3">
        <f t="shared" si="4"/>
        <v>723.4079472008591</v>
      </c>
      <c r="AB10" s="6">
        <f t="shared" si="5"/>
        <v>709.78438137880391</v>
      </c>
      <c r="AC10" s="3">
        <f t="shared" si="6"/>
        <v>704.91882215664134</v>
      </c>
      <c r="AD10">
        <f t="shared" si="7"/>
        <v>445.42432314113012</v>
      </c>
      <c r="AE10">
        <f t="shared" si="8"/>
        <v>1.2609341877634561</v>
      </c>
      <c r="AF10">
        <f t="shared" si="9"/>
        <v>4.3139009816413589E-2</v>
      </c>
      <c r="AG10">
        <f t="shared" si="10"/>
        <v>4.5000912594191367E-2</v>
      </c>
      <c r="AH10">
        <f t="shared" si="11"/>
        <v>4.3160535805097655E-2</v>
      </c>
      <c r="AI10" s="7">
        <f t="shared" si="12"/>
        <v>447.80799056236583</v>
      </c>
    </row>
    <row r="11" spans="1:35" x14ac:dyDescent="0.25">
      <c r="A11">
        <v>30.771999999999998</v>
      </c>
      <c r="B11">
        <v>7.4619999999999997</v>
      </c>
      <c r="C11">
        <v>78.772000000000006</v>
      </c>
      <c r="D11">
        <v>521.18799999999999</v>
      </c>
      <c r="E11">
        <v>350.524</v>
      </c>
      <c r="F11">
        <v>2.5939999999999999</v>
      </c>
      <c r="G11">
        <v>81.631</v>
      </c>
      <c r="H11">
        <v>80.227999999999994</v>
      </c>
      <c r="I11">
        <v>5.42</v>
      </c>
      <c r="J11">
        <v>7.8730000000000002</v>
      </c>
      <c r="K11">
        <v>54423.231</v>
      </c>
      <c r="L11">
        <v>20.484000000000002</v>
      </c>
      <c r="M11">
        <f t="shared" si="0"/>
        <v>2.1869444444444446E-6</v>
      </c>
      <c r="N11">
        <v>282.01505999999995</v>
      </c>
      <c r="O11">
        <v>353.68160999999992</v>
      </c>
      <c r="P11">
        <v>911.90002399999992</v>
      </c>
      <c r="Q11">
        <v>715.9777519999999</v>
      </c>
      <c r="R11">
        <f t="shared" si="1"/>
        <v>1.744971440420759</v>
      </c>
      <c r="S11">
        <v>1.6868160117517446</v>
      </c>
      <c r="T11">
        <v>71.666549999999972</v>
      </c>
      <c r="U11">
        <v>195.92227200000002</v>
      </c>
      <c r="V11">
        <v>558.21841399999994</v>
      </c>
      <c r="W11">
        <v>0.22259337722241471</v>
      </c>
      <c r="X11">
        <f t="shared" si="2"/>
        <v>0.67848106188103474</v>
      </c>
      <c r="Y11">
        <f t="shared" si="3"/>
        <v>1.7547082973357151</v>
      </c>
      <c r="AA11" s="3">
        <f t="shared" si="4"/>
        <v>724.31036054187825</v>
      </c>
      <c r="AB11" s="6">
        <f t="shared" si="5"/>
        <v>710.69387509168803</v>
      </c>
      <c r="AC11" s="3">
        <f t="shared" si="6"/>
        <v>705.83084457376287</v>
      </c>
      <c r="AD11">
        <f t="shared" si="7"/>
        <v>446.98728528954348</v>
      </c>
      <c r="AE11">
        <f t="shared" si="8"/>
        <v>1.2609341877634561</v>
      </c>
      <c r="AF11">
        <f t="shared" si="9"/>
        <v>4.3139009816413589E-2</v>
      </c>
      <c r="AG11">
        <f t="shared" si="10"/>
        <v>4.4822957038635813E-2</v>
      </c>
      <c r="AH11">
        <f t="shared" si="11"/>
        <v>3.9035370292192284E-2</v>
      </c>
      <c r="AI11" s="7">
        <f t="shared" si="12"/>
        <v>450.67848429733812</v>
      </c>
    </row>
    <row r="12" spans="1:35" x14ac:dyDescent="0.25">
      <c r="A12">
        <v>31.771999999999998</v>
      </c>
      <c r="B12">
        <v>7.5490000000000004</v>
      </c>
      <c r="C12">
        <v>78.756</v>
      </c>
      <c r="D12">
        <v>519.96500000000003</v>
      </c>
      <c r="E12">
        <v>350.18200000000002</v>
      </c>
      <c r="F12">
        <v>2.569</v>
      </c>
      <c r="G12">
        <v>81.162000000000006</v>
      </c>
      <c r="H12">
        <v>79.671999999999997</v>
      </c>
      <c r="I12">
        <v>5.6340000000000003</v>
      </c>
      <c r="J12">
        <v>7.7220000000000004</v>
      </c>
      <c r="K12">
        <v>54409.603999999999</v>
      </c>
      <c r="L12">
        <v>20.725000000000001</v>
      </c>
      <c r="M12">
        <f t="shared" si="0"/>
        <v>2.1450000000000002E-6</v>
      </c>
      <c r="N12">
        <v>282.10249499999992</v>
      </c>
      <c r="O12">
        <v>353.66552999999993</v>
      </c>
      <c r="P12">
        <v>910.49601999999993</v>
      </c>
      <c r="Q12">
        <v>715.58513599999992</v>
      </c>
      <c r="R12">
        <f t="shared" si="1"/>
        <v>1.7409610725094042</v>
      </c>
      <c r="S12">
        <v>1.6784136932578297</v>
      </c>
      <c r="T12">
        <v>71.563035000000013</v>
      </c>
      <c r="U12">
        <v>194.91088400000001</v>
      </c>
      <c r="V12">
        <v>556.83049000000005</v>
      </c>
      <c r="W12">
        <v>0.22151777105452683</v>
      </c>
      <c r="X12">
        <f t="shared" si="2"/>
        <v>0.67663585162728757</v>
      </c>
      <c r="Y12">
        <f t="shared" si="3"/>
        <v>1.7641244066307915</v>
      </c>
      <c r="AA12" s="3">
        <f t="shared" si="4"/>
        <v>723.8207033276542</v>
      </c>
      <c r="AB12" s="6">
        <f t="shared" si="5"/>
        <v>710.34681230803142</v>
      </c>
      <c r="AC12" s="3">
        <f t="shared" si="6"/>
        <v>705.53470837245186</v>
      </c>
      <c r="AD12">
        <f t="shared" si="7"/>
        <v>446.97428232420725</v>
      </c>
      <c r="AE12">
        <f t="shared" si="8"/>
        <v>1.2609341877634561</v>
      </c>
      <c r="AF12">
        <f t="shared" si="9"/>
        <v>4.3139009816413589E-2</v>
      </c>
      <c r="AG12">
        <f t="shared" si="10"/>
        <v>4.4790659816413586E-2</v>
      </c>
      <c r="AH12">
        <f t="shared" si="11"/>
        <v>3.8286692416652973E-2</v>
      </c>
      <c r="AI12" s="7">
        <f t="shared" si="12"/>
        <v>451.21716135464203</v>
      </c>
    </row>
    <row r="13" spans="1:35" x14ac:dyDescent="0.25">
      <c r="A13">
        <v>32.771999999999998</v>
      </c>
      <c r="B13">
        <v>7.6130000000000004</v>
      </c>
      <c r="C13">
        <v>78.816999999999993</v>
      </c>
      <c r="D13">
        <v>521.37900000000002</v>
      </c>
      <c r="E13">
        <v>350.86099999999999</v>
      </c>
      <c r="F13">
        <v>2.5459999999999998</v>
      </c>
      <c r="G13">
        <v>81.046999999999997</v>
      </c>
      <c r="H13">
        <v>79.602999999999994</v>
      </c>
      <c r="I13">
        <v>5.452</v>
      </c>
      <c r="J13">
        <v>8.6679999999999993</v>
      </c>
      <c r="K13">
        <v>54385.843000000001</v>
      </c>
      <c r="L13">
        <v>20.297999999999998</v>
      </c>
      <c r="M13">
        <f t="shared" si="0"/>
        <v>2.4077777777777772E-6</v>
      </c>
      <c r="N13">
        <v>282.16681499999993</v>
      </c>
      <c r="O13">
        <v>353.72683499999994</v>
      </c>
      <c r="P13">
        <v>912.11929199999997</v>
      </c>
      <c r="Q13">
        <v>716.36462799999993</v>
      </c>
      <c r="R13">
        <f t="shared" si="1"/>
        <v>1.7402542292967202</v>
      </c>
      <c r="S13">
        <v>1.6805841104339527</v>
      </c>
      <c r="T13">
        <v>71.560020000000009</v>
      </c>
      <c r="U13">
        <v>195.75466400000005</v>
      </c>
      <c r="V13">
        <v>558.39245700000004</v>
      </c>
      <c r="W13">
        <v>0.22241461617738156</v>
      </c>
      <c r="X13">
        <f t="shared" si="2"/>
        <v>0.67628264522311277</v>
      </c>
      <c r="Y13">
        <f t="shared" si="3"/>
        <v>1.7644842917906487</v>
      </c>
      <c r="AA13" s="3">
        <f t="shared" si="4"/>
        <v>724.94891896940806</v>
      </c>
      <c r="AB13" s="6">
        <f t="shared" si="5"/>
        <v>711.41945876901514</v>
      </c>
      <c r="AC13" s="3">
        <f t="shared" si="6"/>
        <v>706.58750869744631</v>
      </c>
      <c r="AD13">
        <f t="shared" si="7"/>
        <v>447.98417531611409</v>
      </c>
      <c r="AE13">
        <f t="shared" si="8"/>
        <v>1.2609341877634561</v>
      </c>
      <c r="AF13">
        <f t="shared" si="9"/>
        <v>4.3139009816413589E-2</v>
      </c>
      <c r="AG13">
        <f t="shared" si="10"/>
        <v>4.4992998705302475E-2</v>
      </c>
      <c r="AH13">
        <f t="shared" si="11"/>
        <v>4.297708493493238E-2</v>
      </c>
      <c r="AI13" s="7">
        <f t="shared" si="12"/>
        <v>449.82246586500247</v>
      </c>
    </row>
    <row r="14" spans="1:35" x14ac:dyDescent="0.25">
      <c r="A14">
        <v>33.771999999999998</v>
      </c>
      <c r="B14">
        <v>7.556</v>
      </c>
      <c r="C14">
        <v>78.710999999999999</v>
      </c>
      <c r="D14">
        <v>521.43799999999999</v>
      </c>
      <c r="E14">
        <v>350.92599999999999</v>
      </c>
      <c r="F14">
        <v>2.5830000000000002</v>
      </c>
      <c r="G14">
        <v>81.355999999999995</v>
      </c>
      <c r="H14">
        <v>79.936000000000007</v>
      </c>
      <c r="I14">
        <v>5.3849999999999998</v>
      </c>
      <c r="J14">
        <v>8.2509999999999994</v>
      </c>
      <c r="K14">
        <v>54367.517</v>
      </c>
      <c r="L14">
        <v>20.138000000000002</v>
      </c>
      <c r="M14">
        <f t="shared" si="0"/>
        <v>2.2919444444444444E-6</v>
      </c>
      <c r="N14">
        <v>282.10952999999995</v>
      </c>
      <c r="O14">
        <v>353.62030499999997</v>
      </c>
      <c r="P14">
        <v>912.18702399999984</v>
      </c>
      <c r="Q14">
        <v>716.43924800000002</v>
      </c>
      <c r="R14">
        <f t="shared" si="1"/>
        <v>1.7425600708878897</v>
      </c>
      <c r="S14">
        <v>1.684676493548239</v>
      </c>
      <c r="T14">
        <v>71.510775000000024</v>
      </c>
      <c r="U14">
        <v>195.74777599999982</v>
      </c>
      <c r="V14">
        <v>558.56671899999992</v>
      </c>
      <c r="W14">
        <v>0.2224210587097292</v>
      </c>
      <c r="X14">
        <f t="shared" si="2"/>
        <v>0.67835975018142747</v>
      </c>
      <c r="Y14">
        <f t="shared" si="3"/>
        <v>1.7565861694486491</v>
      </c>
      <c r="AA14" s="3">
        <f t="shared" si="4"/>
        <v>724.69752600262461</v>
      </c>
      <c r="AB14" s="6">
        <f t="shared" si="5"/>
        <v>711.107711614246</v>
      </c>
      <c r="AC14" s="3">
        <f t="shared" si="6"/>
        <v>706.25420647553949</v>
      </c>
      <c r="AD14">
        <f t="shared" si="7"/>
        <v>447.0176840644101</v>
      </c>
      <c r="AE14">
        <f t="shared" si="8"/>
        <v>1.2609341877634561</v>
      </c>
      <c r="AF14">
        <f t="shared" si="9"/>
        <v>4.3139009816413589E-2</v>
      </c>
      <c r="AG14">
        <f t="shared" si="10"/>
        <v>4.4903807038635814E-2</v>
      </c>
      <c r="AH14">
        <f t="shared" si="11"/>
        <v>4.0909544046853617E-2</v>
      </c>
      <c r="AI14" s="7">
        <f t="shared" si="12"/>
        <v>449.58711651639999</v>
      </c>
    </row>
    <row r="15" spans="1:35" x14ac:dyDescent="0.25">
      <c r="A15">
        <v>34.771999999999998</v>
      </c>
      <c r="B15">
        <v>7.5590000000000002</v>
      </c>
      <c r="C15">
        <v>78.763000000000005</v>
      </c>
      <c r="D15">
        <v>525.86199999999997</v>
      </c>
      <c r="E15">
        <v>350.43299999999999</v>
      </c>
      <c r="F15">
        <v>2.589</v>
      </c>
      <c r="G15">
        <v>81.694999999999993</v>
      </c>
      <c r="H15">
        <v>80.3</v>
      </c>
      <c r="I15">
        <v>5.4450000000000003</v>
      </c>
      <c r="J15">
        <v>7.6909999999999998</v>
      </c>
      <c r="K15">
        <v>54387.468999999997</v>
      </c>
      <c r="L15">
        <v>20.451000000000001</v>
      </c>
      <c r="M15">
        <f t="shared" si="0"/>
        <v>2.136388888888889E-6</v>
      </c>
      <c r="N15">
        <v>282.11254499999995</v>
      </c>
      <c r="O15">
        <v>353.67256499999996</v>
      </c>
      <c r="P15">
        <v>917.26577599999985</v>
      </c>
      <c r="Q15">
        <v>715.8732839999999</v>
      </c>
      <c r="R15">
        <f t="shared" si="1"/>
        <v>1.7456569484112396</v>
      </c>
      <c r="S15">
        <v>1.687089815962183</v>
      </c>
      <c r="T15">
        <v>71.560020000000009</v>
      </c>
      <c r="U15">
        <v>201.39249199999995</v>
      </c>
      <c r="V15">
        <v>563.59321099999988</v>
      </c>
      <c r="W15">
        <v>0.23036557124177276</v>
      </c>
      <c r="X15">
        <f t="shared" si="2"/>
        <v>0.68024470098743139</v>
      </c>
      <c r="Y15">
        <f t="shared" si="3"/>
        <v>1.7926283044681095</v>
      </c>
      <c r="AA15" s="3">
        <f t="shared" si="4"/>
        <v>728.55183841202529</v>
      </c>
      <c r="AB15" s="6">
        <f t="shared" si="5"/>
        <v>714.85125143658581</v>
      </c>
      <c r="AC15" s="3">
        <f t="shared" si="6"/>
        <v>709.95818465964317</v>
      </c>
      <c r="AD15">
        <f t="shared" si="7"/>
        <v>457.7683970070467</v>
      </c>
      <c r="AE15">
        <f t="shared" si="8"/>
        <v>1.2609341877634561</v>
      </c>
      <c r="AF15">
        <f t="shared" si="9"/>
        <v>4.3139009816413589E-2</v>
      </c>
      <c r="AG15">
        <f t="shared" si="10"/>
        <v>4.4784029260858033E-2</v>
      </c>
      <c r="AH15">
        <f t="shared" si="11"/>
        <v>3.8132990336244232E-2</v>
      </c>
      <c r="AI15" s="7">
        <f t="shared" si="12"/>
        <v>461.40452066480293</v>
      </c>
    </row>
    <row r="16" spans="1:35" x14ac:dyDescent="0.25">
      <c r="A16">
        <v>35.771999999999998</v>
      </c>
      <c r="B16">
        <v>7.53</v>
      </c>
      <c r="C16">
        <v>78.805000000000007</v>
      </c>
      <c r="D16">
        <v>527.83799999999997</v>
      </c>
      <c r="E16">
        <v>350.65</v>
      </c>
      <c r="F16">
        <v>2.57</v>
      </c>
      <c r="G16">
        <v>81.33</v>
      </c>
      <c r="H16">
        <v>79.983000000000004</v>
      </c>
      <c r="I16">
        <v>5.3970000000000002</v>
      </c>
      <c r="J16">
        <v>7.6840000000000002</v>
      </c>
      <c r="K16">
        <v>54433.817999999999</v>
      </c>
      <c r="L16">
        <v>20.347000000000001</v>
      </c>
      <c r="M16">
        <f t="shared" si="0"/>
        <v>2.1344444444444442E-6</v>
      </c>
      <c r="N16">
        <v>282.08339999999993</v>
      </c>
      <c r="O16">
        <v>353.71477499999997</v>
      </c>
      <c r="P16">
        <v>919.53422399999988</v>
      </c>
      <c r="Q16">
        <v>716.12239999999986</v>
      </c>
      <c r="R16">
        <f t="shared" si="1"/>
        <v>1.7425285189026114</v>
      </c>
      <c r="S16">
        <v>1.6849224496542603</v>
      </c>
      <c r="T16">
        <v>71.631375000000048</v>
      </c>
      <c r="U16">
        <v>203.41182400000002</v>
      </c>
      <c r="V16">
        <v>565.81944899999985</v>
      </c>
      <c r="W16">
        <v>0.23290194289521499</v>
      </c>
      <c r="X16">
        <f t="shared" si="2"/>
        <v>0.67713104810657232</v>
      </c>
      <c r="Y16">
        <f t="shared" si="3"/>
        <v>1.8103019390434345</v>
      </c>
      <c r="AA16" s="3">
        <f t="shared" si="4"/>
        <v>730.51613160692352</v>
      </c>
      <c r="AB16" s="6">
        <f t="shared" si="5"/>
        <v>716.8132683082697</v>
      </c>
      <c r="AC16" s="3">
        <f t="shared" si="6"/>
        <v>711.9193885587506</v>
      </c>
      <c r="AD16">
        <f t="shared" si="7"/>
        <v>462.12386222287563</v>
      </c>
      <c r="AE16">
        <f t="shared" si="8"/>
        <v>1.2609341877634561</v>
      </c>
      <c r="AF16">
        <f t="shared" si="9"/>
        <v>4.3139009816413589E-2</v>
      </c>
      <c r="AG16">
        <f t="shared" si="10"/>
        <v>4.478253203863581E-2</v>
      </c>
      <c r="AH16">
        <f t="shared" si="11"/>
        <v>3.8098283414861614E-2</v>
      </c>
      <c r="AI16" s="7">
        <f t="shared" si="12"/>
        <v>465.51088246274963</v>
      </c>
    </row>
    <row r="17" spans="1:35" x14ac:dyDescent="0.25">
      <c r="A17">
        <v>36.771999999999998</v>
      </c>
      <c r="B17">
        <v>7.4880000000000004</v>
      </c>
      <c r="C17">
        <v>78.738</v>
      </c>
      <c r="D17">
        <v>527.46799999999996</v>
      </c>
      <c r="E17">
        <v>350.298</v>
      </c>
      <c r="F17">
        <v>2.5329999999999999</v>
      </c>
      <c r="G17">
        <v>81.244</v>
      </c>
      <c r="H17">
        <v>79.823999999999998</v>
      </c>
      <c r="I17">
        <v>5.4180000000000001</v>
      </c>
      <c r="J17">
        <v>7.8360000000000003</v>
      </c>
      <c r="K17">
        <v>54472.201000000001</v>
      </c>
      <c r="L17">
        <v>20.61</v>
      </c>
      <c r="M17">
        <f t="shared" si="0"/>
        <v>2.1766666666666669E-6</v>
      </c>
      <c r="N17">
        <v>282.04118999999997</v>
      </c>
      <c r="O17">
        <v>353.64743999999996</v>
      </c>
      <c r="P17">
        <v>919.10946399999989</v>
      </c>
      <c r="Q17">
        <v>715.71830399999988</v>
      </c>
      <c r="R17">
        <f t="shared" si="1"/>
        <v>1.7423255024379203</v>
      </c>
      <c r="S17">
        <v>1.6831377733707926</v>
      </c>
      <c r="T17">
        <v>71.606249999999989</v>
      </c>
      <c r="U17">
        <v>203.39116000000001</v>
      </c>
      <c r="V17">
        <v>565.46202399999993</v>
      </c>
      <c r="W17">
        <v>0.23305704787701187</v>
      </c>
      <c r="X17">
        <f t="shared" si="2"/>
        <v>0.6771136150194691</v>
      </c>
      <c r="Y17">
        <f t="shared" si="3"/>
        <v>1.814405655705684</v>
      </c>
      <c r="AA17" s="3">
        <f t="shared" si="4"/>
        <v>730.31266359473693</v>
      </c>
      <c r="AB17" s="6">
        <f t="shared" si="5"/>
        <v>716.6421815159357</v>
      </c>
      <c r="AC17" s="3">
        <f t="shared" si="6"/>
        <v>711.75986648779246</v>
      </c>
      <c r="AD17">
        <f t="shared" si="7"/>
        <v>462.57306532113216</v>
      </c>
      <c r="AE17">
        <f t="shared" si="8"/>
        <v>1.2609341877634561</v>
      </c>
      <c r="AF17">
        <f t="shared" si="9"/>
        <v>4.3139009816413589E-2</v>
      </c>
      <c r="AG17">
        <f t="shared" si="10"/>
        <v>4.4815043149746922E-2</v>
      </c>
      <c r="AH17">
        <f t="shared" si="11"/>
        <v>3.8851919422027023E-2</v>
      </c>
      <c r="AI17" s="7">
        <f t="shared" si="12"/>
        <v>465.88334134251602</v>
      </c>
    </row>
    <row r="18" spans="1:35" x14ac:dyDescent="0.25">
      <c r="A18">
        <v>37.771999999999998</v>
      </c>
      <c r="B18">
        <v>7.5229999999999997</v>
      </c>
      <c r="C18">
        <v>78.649000000000001</v>
      </c>
      <c r="D18">
        <v>525.40099999999995</v>
      </c>
      <c r="E18">
        <v>350.23500000000001</v>
      </c>
      <c r="F18">
        <v>2.5590000000000002</v>
      </c>
      <c r="G18">
        <v>81.387</v>
      </c>
      <c r="H18">
        <v>79.972999999999999</v>
      </c>
      <c r="I18">
        <v>5.4329999999999998</v>
      </c>
      <c r="J18">
        <v>7.8360000000000003</v>
      </c>
      <c r="K18">
        <v>54495.184999999998</v>
      </c>
      <c r="L18">
        <v>20.939</v>
      </c>
      <c r="M18">
        <f t="shared" si="0"/>
        <v>2.1766666666666669E-6</v>
      </c>
      <c r="N18">
        <v>282.07636499999995</v>
      </c>
      <c r="O18">
        <v>353.55799499999995</v>
      </c>
      <c r="P18">
        <v>916.73654799999986</v>
      </c>
      <c r="Q18">
        <v>715.64597999999989</v>
      </c>
      <c r="R18">
        <f t="shared" si="1"/>
        <v>1.743246683449778</v>
      </c>
      <c r="S18">
        <v>1.684273819687331</v>
      </c>
      <c r="T18">
        <v>71.481629999999996</v>
      </c>
      <c r="U18">
        <v>201.09056799999996</v>
      </c>
      <c r="V18">
        <v>563.17855299999997</v>
      </c>
      <c r="W18">
        <v>0.23013827019794195</v>
      </c>
      <c r="X18">
        <f t="shared" si="2"/>
        <v>0.67907712336790849</v>
      </c>
      <c r="Y18">
        <f t="shared" si="3"/>
        <v>1.7963463459112263</v>
      </c>
      <c r="AA18" s="3">
        <f t="shared" si="4"/>
        <v>728.34208940373981</v>
      </c>
      <c r="AB18" s="6">
        <f t="shared" si="5"/>
        <v>714.69035678780028</v>
      </c>
      <c r="AC18" s="3">
        <f t="shared" si="6"/>
        <v>709.81473799639332</v>
      </c>
      <c r="AD18">
        <f t="shared" si="7"/>
        <v>457.86144103297175</v>
      </c>
      <c r="AE18">
        <f t="shared" si="8"/>
        <v>1.2609341877634561</v>
      </c>
      <c r="AF18">
        <f t="shared" si="9"/>
        <v>4.3139009816413589E-2</v>
      </c>
      <c r="AG18">
        <f t="shared" si="10"/>
        <v>4.4815043149746922E-2</v>
      </c>
      <c r="AH18">
        <f t="shared" si="11"/>
        <v>3.8851919422027023E-2</v>
      </c>
      <c r="AI18" s="7">
        <f t="shared" si="12"/>
        <v>461.67692662163671</v>
      </c>
    </row>
    <row r="19" spans="1:35" x14ac:dyDescent="0.25">
      <c r="A19">
        <v>38.771999999999998</v>
      </c>
      <c r="B19">
        <v>7.5019999999999998</v>
      </c>
      <c r="C19">
        <v>78.539000000000001</v>
      </c>
      <c r="D19">
        <v>527.11400000000003</v>
      </c>
      <c r="E19">
        <v>350.43099999999998</v>
      </c>
      <c r="F19">
        <v>2.548</v>
      </c>
      <c r="G19">
        <v>81.198999999999998</v>
      </c>
      <c r="H19">
        <v>79.825000000000003</v>
      </c>
      <c r="I19">
        <v>5.407</v>
      </c>
      <c r="J19">
        <v>8.3650000000000002</v>
      </c>
      <c r="K19">
        <v>54488.57</v>
      </c>
      <c r="L19">
        <v>20.643000000000001</v>
      </c>
      <c r="M19">
        <f t="shared" si="0"/>
        <v>2.3236111111111115E-6</v>
      </c>
      <c r="N19">
        <v>282.05525999999998</v>
      </c>
      <c r="O19">
        <v>353.4474449999999</v>
      </c>
      <c r="P19">
        <v>918.70307199999991</v>
      </c>
      <c r="Q19">
        <v>715.87098799999978</v>
      </c>
      <c r="R19">
        <f t="shared" si="1"/>
        <v>1.7416547223898613</v>
      </c>
      <c r="S19">
        <v>1.6833169585058811</v>
      </c>
      <c r="T19">
        <v>71.392184999999927</v>
      </c>
      <c r="U19">
        <v>202.83208400000012</v>
      </c>
      <c r="V19">
        <v>565.255627</v>
      </c>
      <c r="W19">
        <v>0.23253178335896546</v>
      </c>
      <c r="X19">
        <f t="shared" si="2"/>
        <v>0.67866842334154986</v>
      </c>
      <c r="Y19">
        <f t="shared" si="3"/>
        <v>1.8098721756439582</v>
      </c>
      <c r="AA19" s="3">
        <f t="shared" si="4"/>
        <v>729.97629586711685</v>
      </c>
      <c r="AB19" s="6">
        <f t="shared" si="5"/>
        <v>716.30924228572292</v>
      </c>
      <c r="AC19" s="3">
        <f t="shared" si="6"/>
        <v>711.42815172093935</v>
      </c>
      <c r="AD19">
        <f t="shared" si="7"/>
        <v>461.41526230503041</v>
      </c>
      <c r="AE19">
        <f t="shared" si="8"/>
        <v>1.2609341877634561</v>
      </c>
      <c r="AF19">
        <f t="shared" si="9"/>
        <v>4.3139009816413589E-2</v>
      </c>
      <c r="AG19">
        <f t="shared" si="10"/>
        <v>4.4928190371969143E-2</v>
      </c>
      <c r="AH19">
        <f t="shared" si="11"/>
        <v>4.1474771052227674E-2</v>
      </c>
      <c r="AI19" s="7">
        <f t="shared" si="12"/>
        <v>463.6832685980105</v>
      </c>
    </row>
    <row r="20" spans="1:35" x14ac:dyDescent="0.25">
      <c r="A20">
        <v>39.771999999999998</v>
      </c>
      <c r="B20">
        <v>7.6470000000000002</v>
      </c>
      <c r="C20">
        <v>78.522999999999996</v>
      </c>
      <c r="D20">
        <v>527.27599999999995</v>
      </c>
      <c r="E20">
        <v>349.84800000000001</v>
      </c>
      <c r="F20">
        <v>2.597</v>
      </c>
      <c r="G20">
        <v>81.685000000000002</v>
      </c>
      <c r="H20">
        <v>80.238</v>
      </c>
      <c r="I20">
        <v>5.3840000000000003</v>
      </c>
      <c r="J20">
        <v>8.7430000000000003</v>
      </c>
      <c r="K20">
        <v>54494.262999999999</v>
      </c>
      <c r="L20">
        <v>20.329999999999998</v>
      </c>
      <c r="M20">
        <f t="shared" si="0"/>
        <v>2.4286111111111113E-6</v>
      </c>
      <c r="N20">
        <v>282.20098499999995</v>
      </c>
      <c r="O20">
        <v>353.43136499999997</v>
      </c>
      <c r="P20">
        <v>918.88904799999989</v>
      </c>
      <c r="Q20">
        <v>715.20170399999995</v>
      </c>
      <c r="R20">
        <f t="shared" si="1"/>
        <v>1.7454310677964506</v>
      </c>
      <c r="S20">
        <v>1.6874655596781896</v>
      </c>
      <c r="T20">
        <v>71.230380000000025</v>
      </c>
      <c r="U20">
        <v>203.68734399999994</v>
      </c>
      <c r="V20">
        <v>565.45768299999986</v>
      </c>
      <c r="W20">
        <v>0.23424735038925973</v>
      </c>
      <c r="X20">
        <f t="shared" si="2"/>
        <v>0.6834352260719696</v>
      </c>
      <c r="Y20">
        <f t="shared" si="3"/>
        <v>1.8091312269906605</v>
      </c>
      <c r="AA20" s="3">
        <f t="shared" si="4"/>
        <v>729.81301289651685</v>
      </c>
      <c r="AB20" s="6">
        <f t="shared" si="5"/>
        <v>716.08270984861736</v>
      </c>
      <c r="AC20" s="3">
        <f t="shared" si="6"/>
        <v>711.17903018865331</v>
      </c>
      <c r="AD20">
        <f t="shared" si="7"/>
        <v>462.30130198002399</v>
      </c>
      <c r="AE20">
        <f t="shared" si="8"/>
        <v>1.2609341877634561</v>
      </c>
      <c r="AF20">
        <f t="shared" si="9"/>
        <v>4.3139009816413589E-2</v>
      </c>
      <c r="AG20">
        <f t="shared" si="10"/>
        <v>4.5009040371969143E-2</v>
      </c>
      <c r="AH20">
        <f t="shared" si="11"/>
        <v>4.3348944806889007E-2</v>
      </c>
      <c r="AI20" s="7">
        <f t="shared" si="12"/>
        <v>463.4236593946431</v>
      </c>
    </row>
    <row r="21" spans="1:35" x14ac:dyDescent="0.25">
      <c r="A21">
        <v>40.771999999999998</v>
      </c>
      <c r="B21">
        <v>7.6760000000000002</v>
      </c>
      <c r="C21">
        <v>78.653000000000006</v>
      </c>
      <c r="D21">
        <v>526.58000000000004</v>
      </c>
      <c r="E21">
        <v>349.53800000000001</v>
      </c>
      <c r="F21">
        <v>2.5569999999999999</v>
      </c>
      <c r="G21">
        <v>81.421000000000006</v>
      </c>
      <c r="H21">
        <v>79.867999999999995</v>
      </c>
      <c r="I21">
        <v>5.3659999999999997</v>
      </c>
      <c r="J21">
        <v>8.3580000000000005</v>
      </c>
      <c r="K21">
        <v>54496.819000000003</v>
      </c>
      <c r="L21">
        <v>20.675999999999998</v>
      </c>
      <c r="M21">
        <f t="shared" si="0"/>
        <v>2.3216666666666667E-6</v>
      </c>
      <c r="N21">
        <v>282.23012999999992</v>
      </c>
      <c r="O21">
        <v>353.56201499999997</v>
      </c>
      <c r="P21">
        <v>918.09003999999993</v>
      </c>
      <c r="Q21">
        <v>714.84582399999988</v>
      </c>
      <c r="R21">
        <f t="shared" si="1"/>
        <v>1.7436001395476017</v>
      </c>
      <c r="S21">
        <v>1.684345893116308</v>
      </c>
      <c r="T21">
        <v>71.331885000000057</v>
      </c>
      <c r="U21">
        <v>203.24421600000005</v>
      </c>
      <c r="V21">
        <v>564.52802499999996</v>
      </c>
      <c r="W21">
        <v>0.2336683479974267</v>
      </c>
      <c r="X21">
        <f t="shared" si="2"/>
        <v>0.68114227640236003</v>
      </c>
      <c r="Y21">
        <f t="shared" si="3"/>
        <v>1.8127689955648829</v>
      </c>
      <c r="AA21" s="3">
        <f t="shared" si="4"/>
        <v>729.41202770906364</v>
      </c>
      <c r="AB21" s="6">
        <f t="shared" si="5"/>
        <v>715.73908865249268</v>
      </c>
      <c r="AC21" s="3">
        <f t="shared" si="6"/>
        <v>710.85589613228876</v>
      </c>
      <c r="AD21">
        <f t="shared" si="7"/>
        <v>462.21780531057351</v>
      </c>
      <c r="AE21">
        <f t="shared" si="8"/>
        <v>1.2609341877634561</v>
      </c>
      <c r="AF21">
        <f t="shared" si="9"/>
        <v>4.3139009816413589E-2</v>
      </c>
      <c r="AG21">
        <f t="shared" si="10"/>
        <v>4.492669314974692E-2</v>
      </c>
      <c r="AH21">
        <f t="shared" si="11"/>
        <v>4.1440064130845056E-2</v>
      </c>
      <c r="AI21" s="7">
        <f t="shared" si="12"/>
        <v>464.50164223350367</v>
      </c>
    </row>
    <row r="22" spans="1:35" x14ac:dyDescent="0.25">
      <c r="A22">
        <v>41.771999999999998</v>
      </c>
      <c r="B22">
        <v>7.8250000000000002</v>
      </c>
      <c r="C22">
        <v>78.673000000000002</v>
      </c>
      <c r="D22">
        <v>526.78399999999999</v>
      </c>
      <c r="E22">
        <v>350.05500000000001</v>
      </c>
      <c r="F22">
        <v>2.5529999999999999</v>
      </c>
      <c r="G22">
        <v>81.382000000000005</v>
      </c>
      <c r="H22">
        <v>79.941999999999993</v>
      </c>
      <c r="I22">
        <v>5.3929999999999998</v>
      </c>
      <c r="J22">
        <v>8.5090000000000003</v>
      </c>
      <c r="K22">
        <v>54475.67</v>
      </c>
      <c r="L22">
        <v>20.561</v>
      </c>
      <c r="M22">
        <f t="shared" si="0"/>
        <v>2.3636111111111115E-6</v>
      </c>
      <c r="N22">
        <v>282.37987499999991</v>
      </c>
      <c r="O22">
        <v>353.58211499999993</v>
      </c>
      <c r="P22">
        <v>918.32423199999994</v>
      </c>
      <c r="Q22">
        <v>715.4393399999999</v>
      </c>
      <c r="R22">
        <f t="shared" si="1"/>
        <v>1.7432981622396351</v>
      </c>
      <c r="S22">
        <v>1.684607826031058</v>
      </c>
      <c r="T22">
        <v>71.202240000000018</v>
      </c>
      <c r="U22">
        <v>202.88489200000004</v>
      </c>
      <c r="V22">
        <v>564.74211700000001</v>
      </c>
      <c r="W22">
        <v>0.2331730679119865</v>
      </c>
      <c r="X22">
        <f t="shared" si="2"/>
        <v>0.68251451267020924</v>
      </c>
      <c r="Y22">
        <f t="shared" si="3"/>
        <v>1.8085976184826293</v>
      </c>
      <c r="AA22" s="3">
        <f t="shared" si="4"/>
        <v>729.57845009788548</v>
      </c>
      <c r="AB22" s="6">
        <f t="shared" si="5"/>
        <v>715.89820428358553</v>
      </c>
      <c r="AC22" s="3">
        <f t="shared" si="6"/>
        <v>711.01240220704972</v>
      </c>
      <c r="AD22">
        <f t="shared" si="7"/>
        <v>461.3280796083331</v>
      </c>
      <c r="AE22">
        <f t="shared" si="8"/>
        <v>1.2609341877634561</v>
      </c>
      <c r="AF22">
        <f t="shared" si="9"/>
        <v>4.3139009816413589E-2</v>
      </c>
      <c r="AG22">
        <f t="shared" si="10"/>
        <v>4.4958990371969147E-2</v>
      </c>
      <c r="AH22">
        <f t="shared" si="11"/>
        <v>4.2188742006384373E-2</v>
      </c>
      <c r="AI22" s="7">
        <f t="shared" si="12"/>
        <v>463.21410208609694</v>
      </c>
    </row>
    <row r="23" spans="1:35" x14ac:dyDescent="0.25">
      <c r="A23">
        <v>42.771999999999998</v>
      </c>
      <c r="B23">
        <v>7.9850000000000003</v>
      </c>
      <c r="C23">
        <v>78.641000000000005</v>
      </c>
      <c r="D23">
        <v>525.61300000000006</v>
      </c>
      <c r="E23">
        <v>349.40600000000001</v>
      </c>
      <c r="F23">
        <v>2.5760000000000001</v>
      </c>
      <c r="G23">
        <v>81.875</v>
      </c>
      <c r="H23">
        <v>80.421000000000006</v>
      </c>
      <c r="I23">
        <v>5.34</v>
      </c>
      <c r="J23">
        <v>8.1</v>
      </c>
      <c r="K23">
        <v>54493.616000000002</v>
      </c>
      <c r="L23">
        <v>20.72</v>
      </c>
      <c r="M23">
        <f t="shared" si="0"/>
        <v>2.2500000000000001E-6</v>
      </c>
      <c r="N23">
        <v>282.54067499999996</v>
      </c>
      <c r="O23">
        <v>353.54995499999995</v>
      </c>
      <c r="P23">
        <v>916.97992399999998</v>
      </c>
      <c r="Q23">
        <v>714.69428800000003</v>
      </c>
      <c r="R23">
        <f t="shared" si="1"/>
        <v>1.7475677815905579</v>
      </c>
      <c r="S23">
        <v>1.6898291069459757</v>
      </c>
      <c r="T23">
        <v>71.00927999999999</v>
      </c>
      <c r="U23">
        <v>202.28563599999995</v>
      </c>
      <c r="V23">
        <v>563.42996900000003</v>
      </c>
      <c r="W23">
        <v>0.23299498291330675</v>
      </c>
      <c r="X23">
        <f t="shared" si="2"/>
        <v>0.68801949481868063</v>
      </c>
      <c r="Y23">
        <f t="shared" si="3"/>
        <v>1.7959257316146364</v>
      </c>
      <c r="AA23" s="3">
        <f t="shared" si="4"/>
        <v>728.12030149267491</v>
      </c>
      <c r="AB23" s="6">
        <f t="shared" si="5"/>
        <v>714.38422122736165</v>
      </c>
      <c r="AC23" s="3">
        <f t="shared" si="6"/>
        <v>709.47847827546411</v>
      </c>
      <c r="AD23">
        <f t="shared" si="7"/>
        <v>459.17055212417779</v>
      </c>
      <c r="AE23">
        <f t="shared" si="8"/>
        <v>1.2609341877634561</v>
      </c>
      <c r="AF23">
        <f t="shared" si="9"/>
        <v>4.3139009816413589E-2</v>
      </c>
      <c r="AG23">
        <f t="shared" si="10"/>
        <v>4.4871509816413586E-2</v>
      </c>
      <c r="AH23">
        <f t="shared" si="11"/>
        <v>4.0160866171314299E-2</v>
      </c>
      <c r="AI23" s="7">
        <f t="shared" si="12"/>
        <v>462.16186448228916</v>
      </c>
    </row>
    <row r="24" spans="1:35" x14ac:dyDescent="0.25">
      <c r="A24">
        <v>43.771999999999998</v>
      </c>
      <c r="B24">
        <v>8.0169999999999995</v>
      </c>
      <c r="C24">
        <v>78.611000000000004</v>
      </c>
      <c r="D24">
        <v>526.93100000000004</v>
      </c>
      <c r="E24">
        <v>348.86700000000002</v>
      </c>
      <c r="F24">
        <v>2.5449999999999999</v>
      </c>
      <c r="G24">
        <v>81.974000000000004</v>
      </c>
      <c r="H24">
        <v>80.632999999999996</v>
      </c>
      <c r="I24">
        <v>5.399</v>
      </c>
      <c r="J24">
        <v>7.5709999999999997</v>
      </c>
      <c r="K24">
        <v>54527.154999999999</v>
      </c>
      <c r="L24">
        <v>20.670999999999999</v>
      </c>
      <c r="M24">
        <f t="shared" si="0"/>
        <v>2.1030555555555554E-6</v>
      </c>
      <c r="N24">
        <v>282.57283499999994</v>
      </c>
      <c r="O24">
        <v>353.51980499999991</v>
      </c>
      <c r="P24">
        <v>918.49298799999997</v>
      </c>
      <c r="Q24">
        <v>714.07551599999999</v>
      </c>
      <c r="R24">
        <f t="shared" si="1"/>
        <v>1.7490122117968785</v>
      </c>
      <c r="S24">
        <v>1.6908603384787737</v>
      </c>
      <c r="T24">
        <v>70.946969999999965</v>
      </c>
      <c r="U24">
        <v>204.41747199999998</v>
      </c>
      <c r="V24">
        <v>564.97318300000006</v>
      </c>
      <c r="W24">
        <v>0.23624218992355253</v>
      </c>
      <c r="X24">
        <f t="shared" si="2"/>
        <v>0.68980502184214409</v>
      </c>
      <c r="Y24">
        <f t="shared" si="3"/>
        <v>1.8098932524099347</v>
      </c>
      <c r="AA24" s="3">
        <f t="shared" si="4"/>
        <v>729.24473392226901</v>
      </c>
      <c r="AB24" s="6">
        <f t="shared" si="5"/>
        <v>715.47101551826586</v>
      </c>
      <c r="AC24" s="3">
        <f t="shared" si="6"/>
        <v>710.55183037397887</v>
      </c>
      <c r="AD24">
        <f t="shared" si="7"/>
        <v>463.21746472897399</v>
      </c>
      <c r="AE24">
        <f t="shared" si="8"/>
        <v>1.2609341877634561</v>
      </c>
      <c r="AF24">
        <f t="shared" si="9"/>
        <v>4.3139009816413589E-2</v>
      </c>
      <c r="AG24">
        <f t="shared" si="10"/>
        <v>4.4758362594191366E-2</v>
      </c>
      <c r="AH24">
        <f t="shared" si="11"/>
        <v>3.7538014541113648E-2</v>
      </c>
      <c r="AI24" s="7">
        <f t="shared" si="12"/>
        <v>467.12930633381433</v>
      </c>
    </row>
    <row r="25" spans="1:35" x14ac:dyDescent="0.25">
      <c r="A25">
        <v>44.771999999999998</v>
      </c>
      <c r="B25">
        <v>7.9560000000000004</v>
      </c>
      <c r="C25">
        <v>78.656000000000006</v>
      </c>
      <c r="D25">
        <v>528.42399999999998</v>
      </c>
      <c r="E25">
        <v>349.33499999999998</v>
      </c>
      <c r="F25">
        <v>2.577</v>
      </c>
      <c r="G25">
        <v>81.995000000000005</v>
      </c>
      <c r="H25">
        <v>80.497</v>
      </c>
      <c r="I25">
        <v>5.5289999999999999</v>
      </c>
      <c r="J25">
        <v>7.798</v>
      </c>
      <c r="K25">
        <v>54577.281000000003</v>
      </c>
      <c r="L25">
        <v>20.786000000000001</v>
      </c>
      <c r="M25">
        <f t="shared" si="0"/>
        <v>2.1661111111111113E-6</v>
      </c>
      <c r="N25">
        <v>282.51152999999994</v>
      </c>
      <c r="O25">
        <v>353.56502999999992</v>
      </c>
      <c r="P25">
        <v>920.20695199999989</v>
      </c>
      <c r="Q25">
        <v>714.61277999999982</v>
      </c>
      <c r="R25">
        <f t="shared" si="1"/>
        <v>1.7486825607813192</v>
      </c>
      <c r="S25">
        <v>1.6875968778948722</v>
      </c>
      <c r="T25">
        <v>71.053499999999985</v>
      </c>
      <c r="U25">
        <v>205.59417200000007</v>
      </c>
      <c r="V25">
        <v>566.64192200000002</v>
      </c>
      <c r="W25">
        <v>0.23743508338587077</v>
      </c>
      <c r="X25">
        <f t="shared" si="2"/>
        <v>0.68837015788635481</v>
      </c>
      <c r="Y25">
        <f t="shared" si="3"/>
        <v>1.8231984104061154</v>
      </c>
      <c r="AA25" s="3">
        <f t="shared" si="4"/>
        <v>730.84989270370306</v>
      </c>
      <c r="AB25" s="6">
        <f t="shared" si="5"/>
        <v>717.09798295164535</v>
      </c>
      <c r="AC25" s="3">
        <f t="shared" si="6"/>
        <v>712.18658661162476</v>
      </c>
      <c r="AD25">
        <f t="shared" si="7"/>
        <v>466.08090376776642</v>
      </c>
      <c r="AE25">
        <f t="shared" si="8"/>
        <v>1.2609341877634561</v>
      </c>
      <c r="AF25">
        <f t="shared" si="9"/>
        <v>4.3139009816413589E-2</v>
      </c>
      <c r="AG25">
        <f t="shared" si="10"/>
        <v>4.4806915371969146E-2</v>
      </c>
      <c r="AH25">
        <f t="shared" si="11"/>
        <v>3.8663510420235671E-2</v>
      </c>
      <c r="AI25" s="7">
        <f t="shared" si="12"/>
        <v>469.51737362762793</v>
      </c>
    </row>
    <row r="26" spans="1:35" x14ac:dyDescent="0.25">
      <c r="A26">
        <v>45.771999999999998</v>
      </c>
      <c r="B26">
        <v>7.9779999999999998</v>
      </c>
      <c r="C26">
        <v>78.704999999999998</v>
      </c>
      <c r="D26">
        <v>528.46900000000005</v>
      </c>
      <c r="E26">
        <v>348.78699999999998</v>
      </c>
      <c r="F26">
        <v>2.56</v>
      </c>
      <c r="G26">
        <v>81.528999999999996</v>
      </c>
      <c r="H26">
        <v>80.156999999999996</v>
      </c>
      <c r="I26">
        <v>5.5439999999999996</v>
      </c>
      <c r="J26">
        <v>8.1379999999999999</v>
      </c>
      <c r="K26">
        <v>54615.478000000003</v>
      </c>
      <c r="L26">
        <v>20.649000000000001</v>
      </c>
      <c r="M26">
        <f t="shared" si="0"/>
        <v>2.2605555555555552E-6</v>
      </c>
      <c r="N26">
        <v>282.53363999999993</v>
      </c>
      <c r="O26">
        <v>353.61427499999991</v>
      </c>
      <c r="P26">
        <v>920.25861199999997</v>
      </c>
      <c r="Q26">
        <v>713.98367599999983</v>
      </c>
      <c r="R26">
        <f t="shared" si="1"/>
        <v>1.7445691118234961</v>
      </c>
      <c r="S26">
        <v>1.6842467260922196</v>
      </c>
      <c r="T26">
        <v>71.080634999999972</v>
      </c>
      <c r="U26">
        <v>206.27493600000014</v>
      </c>
      <c r="V26">
        <v>566.64433700000006</v>
      </c>
      <c r="W26">
        <v>0.23858757984905116</v>
      </c>
      <c r="X26">
        <f t="shared" si="2"/>
        <v>0.68502464016426434</v>
      </c>
      <c r="Y26">
        <f t="shared" si="3"/>
        <v>1.8356591263314457</v>
      </c>
      <c r="AA26" s="3">
        <f t="shared" si="4"/>
        <v>731.14238582678627</v>
      </c>
      <c r="AB26" s="6">
        <f t="shared" si="5"/>
        <v>717.43859973755025</v>
      </c>
      <c r="AC26" s="3">
        <f t="shared" si="6"/>
        <v>712.54439041996591</v>
      </c>
      <c r="AD26">
        <f t="shared" si="7"/>
        <v>468.26453314063366</v>
      </c>
      <c r="AE26">
        <f t="shared" si="8"/>
        <v>1.2609341877634561</v>
      </c>
      <c r="AF26">
        <f t="shared" si="9"/>
        <v>4.3139009816413589E-2</v>
      </c>
      <c r="AG26">
        <f t="shared" si="10"/>
        <v>4.4879637594191363E-2</v>
      </c>
      <c r="AH26">
        <f t="shared" si="11"/>
        <v>4.0349275173105645E-2</v>
      </c>
      <c r="AI26" s="7">
        <f t="shared" si="12"/>
        <v>470.75219545108371</v>
      </c>
    </row>
    <row r="27" spans="1:35" x14ac:dyDescent="0.25">
      <c r="A27">
        <v>46.771999999999998</v>
      </c>
      <c r="B27">
        <v>8.0259999999999998</v>
      </c>
      <c r="C27">
        <v>78.741</v>
      </c>
      <c r="D27">
        <v>526.47400000000005</v>
      </c>
      <c r="E27">
        <v>349.02100000000002</v>
      </c>
      <c r="F27">
        <v>2.5859999999999999</v>
      </c>
      <c r="G27">
        <v>81.513000000000005</v>
      </c>
      <c r="H27">
        <v>79.998999999999995</v>
      </c>
      <c r="I27">
        <v>5.4359999999999999</v>
      </c>
      <c r="J27">
        <v>8.1769999999999996</v>
      </c>
      <c r="K27">
        <v>54584.762000000002</v>
      </c>
      <c r="L27">
        <v>21.06</v>
      </c>
      <c r="M27">
        <f t="shared" si="0"/>
        <v>2.271388888888889E-6</v>
      </c>
      <c r="N27">
        <v>282.58187999999996</v>
      </c>
      <c r="O27">
        <v>353.65045499999991</v>
      </c>
      <c r="P27">
        <v>917.96835199999998</v>
      </c>
      <c r="Q27">
        <v>714.25230799999997</v>
      </c>
      <c r="R27">
        <f t="shared" si="1"/>
        <v>1.7439907245065325</v>
      </c>
      <c r="S27">
        <v>1.6844661085407944</v>
      </c>
      <c r="T27">
        <v>71.068574999999953</v>
      </c>
      <c r="U27">
        <v>203.71604400000001</v>
      </c>
      <c r="V27">
        <v>564.31789700000013</v>
      </c>
      <c r="W27">
        <v>0.23505805806474364</v>
      </c>
      <c r="X27">
        <f t="shared" si="2"/>
        <v>0.68481626158958042</v>
      </c>
      <c r="Y27">
        <f t="shared" si="3"/>
        <v>1.8169852976882928</v>
      </c>
      <c r="AA27" s="3">
        <f t="shared" si="4"/>
        <v>729.30633691128162</v>
      </c>
      <c r="AB27" s="6">
        <f t="shared" si="5"/>
        <v>715.63345797736417</v>
      </c>
      <c r="AC27" s="3">
        <f t="shared" si="6"/>
        <v>710.75028692953651</v>
      </c>
      <c r="AD27">
        <f t="shared" si="7"/>
        <v>463.23838735151048</v>
      </c>
      <c r="AE27">
        <f t="shared" si="8"/>
        <v>1.2609341877634561</v>
      </c>
      <c r="AF27">
        <f t="shared" si="9"/>
        <v>4.3139009816413589E-2</v>
      </c>
      <c r="AG27">
        <f t="shared" si="10"/>
        <v>4.4887979260858031E-2</v>
      </c>
      <c r="AH27">
        <f t="shared" si="11"/>
        <v>4.0542642306523095E-2</v>
      </c>
      <c r="AI27" s="7">
        <f t="shared" si="12"/>
        <v>466.24923926526571</v>
      </c>
    </row>
    <row r="28" spans="1:35" x14ac:dyDescent="0.25">
      <c r="A28">
        <v>47.771999999999998</v>
      </c>
      <c r="B28">
        <v>8.0180000000000007</v>
      </c>
      <c r="C28">
        <v>78.751999999999995</v>
      </c>
      <c r="D28">
        <v>524.34900000000005</v>
      </c>
      <c r="E28">
        <v>348.88299999999998</v>
      </c>
      <c r="F28">
        <v>2.5630000000000002</v>
      </c>
      <c r="G28">
        <v>80.775999999999996</v>
      </c>
      <c r="H28">
        <v>79.412999999999997</v>
      </c>
      <c r="I28">
        <v>5.2709999999999999</v>
      </c>
      <c r="J28">
        <v>8.0310000000000006</v>
      </c>
      <c r="K28">
        <v>54534.021000000001</v>
      </c>
      <c r="L28">
        <v>20.956</v>
      </c>
      <c r="M28">
        <f t="shared" si="0"/>
        <v>2.2308333333333333E-6</v>
      </c>
      <c r="N28">
        <v>282.57383999999996</v>
      </c>
      <c r="O28">
        <v>353.66150999999996</v>
      </c>
      <c r="P28">
        <v>915.52885199999992</v>
      </c>
      <c r="Q28">
        <v>714.09388399999978</v>
      </c>
      <c r="R28">
        <f t="shared" si="1"/>
        <v>1.7374202125152032</v>
      </c>
      <c r="S28">
        <v>1.681633891386491</v>
      </c>
      <c r="T28">
        <v>71.087670000000003</v>
      </c>
      <c r="U28">
        <v>201.43496800000014</v>
      </c>
      <c r="V28">
        <v>561.86734200000001</v>
      </c>
      <c r="W28">
        <v>0.23198945419397615</v>
      </c>
      <c r="X28">
        <f t="shared" si="2"/>
        <v>0.6795903028636221</v>
      </c>
      <c r="Y28">
        <f t="shared" si="3"/>
        <v>1.806887886154676</v>
      </c>
      <c r="AA28" s="3">
        <f t="shared" si="4"/>
        <v>727.58015170396061</v>
      </c>
      <c r="AB28" s="6">
        <f t="shared" si="5"/>
        <v>713.98482009084194</v>
      </c>
      <c r="AC28" s="3">
        <f t="shared" si="6"/>
        <v>709.12934451472802</v>
      </c>
      <c r="AD28">
        <f t="shared" si="7"/>
        <v>459.47946518704543</v>
      </c>
      <c r="AE28">
        <f t="shared" si="8"/>
        <v>1.2609341877634561</v>
      </c>
      <c r="AF28">
        <f t="shared" si="9"/>
        <v>4.3139009816413589E-2</v>
      </c>
      <c r="AG28">
        <f t="shared" si="10"/>
        <v>4.4856751483080257E-2</v>
      </c>
      <c r="AH28">
        <f t="shared" si="11"/>
        <v>3.9818755089114213E-2</v>
      </c>
      <c r="AI28" s="7">
        <f t="shared" si="12"/>
        <v>462.84018696839843</v>
      </c>
    </row>
    <row r="29" spans="1:35" x14ac:dyDescent="0.25">
      <c r="A29">
        <v>48.771999999999998</v>
      </c>
      <c r="B29">
        <v>7.94</v>
      </c>
      <c r="C29">
        <v>78.796000000000006</v>
      </c>
      <c r="D29">
        <v>524.029</v>
      </c>
      <c r="E29">
        <v>348.68599999999998</v>
      </c>
      <c r="F29">
        <v>2.552</v>
      </c>
      <c r="G29">
        <v>81.254999999999995</v>
      </c>
      <c r="H29">
        <v>79.802999999999997</v>
      </c>
      <c r="I29">
        <v>5.3860000000000001</v>
      </c>
      <c r="J29">
        <v>7.9729999999999999</v>
      </c>
      <c r="K29">
        <v>54472.038999999997</v>
      </c>
      <c r="L29">
        <v>21.192</v>
      </c>
      <c r="M29">
        <f t="shared" si="0"/>
        <v>2.2147222222222221E-6</v>
      </c>
      <c r="N29">
        <v>282.49544999999995</v>
      </c>
      <c r="O29">
        <v>353.70572999999996</v>
      </c>
      <c r="P29">
        <v>915.16149199999995</v>
      </c>
      <c r="Q29">
        <v>713.86772799999994</v>
      </c>
      <c r="R29">
        <f t="shared" si="1"/>
        <v>1.742117074642628</v>
      </c>
      <c r="S29">
        <v>1.6834395606414048</v>
      </c>
      <c r="T29">
        <v>71.210280000000012</v>
      </c>
      <c r="U29">
        <v>201.29376400000001</v>
      </c>
      <c r="V29">
        <v>561.45576200000005</v>
      </c>
      <c r="W29">
        <v>0.2316896411154829</v>
      </c>
      <c r="X29">
        <f t="shared" si="2"/>
        <v>0.68181648338898149</v>
      </c>
      <c r="Y29">
        <f t="shared" si="3"/>
        <v>1.8028605434687373</v>
      </c>
      <c r="AA29" s="3">
        <f t="shared" si="4"/>
        <v>727.15308454172578</v>
      </c>
      <c r="AB29" s="6">
        <f t="shared" si="5"/>
        <v>713.53693431372801</v>
      </c>
      <c r="AC29" s="3">
        <f t="shared" si="6"/>
        <v>708.67402351801456</v>
      </c>
      <c r="AD29">
        <f t="shared" si="7"/>
        <v>458.85220407481916</v>
      </c>
      <c r="AE29">
        <f t="shared" si="8"/>
        <v>1.2609341877634561</v>
      </c>
      <c r="AF29">
        <f t="shared" si="9"/>
        <v>4.3139009816413589E-2</v>
      </c>
      <c r="AG29">
        <f t="shared" si="10"/>
        <v>4.4844345927524697E-2</v>
      </c>
      <c r="AH29">
        <f t="shared" si="11"/>
        <v>3.9531183454801097E-2</v>
      </c>
      <c r="AI29" s="7">
        <f t="shared" si="12"/>
        <v>462.59502030176679</v>
      </c>
    </row>
    <row r="30" spans="1:35" x14ac:dyDescent="0.25">
      <c r="A30">
        <v>49.771999999999998</v>
      </c>
      <c r="B30">
        <v>7.9690000000000003</v>
      </c>
      <c r="C30">
        <v>78.81</v>
      </c>
      <c r="D30">
        <v>523.71299999999997</v>
      </c>
      <c r="E30">
        <v>348.81700000000001</v>
      </c>
      <c r="F30">
        <v>2.605</v>
      </c>
      <c r="G30">
        <v>80.912999999999997</v>
      </c>
      <c r="H30">
        <v>79.477999999999994</v>
      </c>
      <c r="I30">
        <v>5.3150000000000004</v>
      </c>
      <c r="J30">
        <v>8.1379999999999999</v>
      </c>
      <c r="K30">
        <v>54429.548000000003</v>
      </c>
      <c r="L30">
        <v>20.521999999999998</v>
      </c>
      <c r="M30">
        <f t="shared" si="0"/>
        <v>2.2605555555555552E-6</v>
      </c>
      <c r="N30">
        <v>282.52459499999992</v>
      </c>
      <c r="O30">
        <v>353.71979999999996</v>
      </c>
      <c r="P30">
        <v>914.79872399999988</v>
      </c>
      <c r="Q30">
        <v>714.01811599999996</v>
      </c>
      <c r="R30">
        <f t="shared" si="1"/>
        <v>1.7380236558126385</v>
      </c>
      <c r="S30">
        <v>1.6815512567201214</v>
      </c>
      <c r="T30">
        <v>71.195205000000044</v>
      </c>
      <c r="U30">
        <v>200.78060799999992</v>
      </c>
      <c r="V30">
        <v>561.07892399999992</v>
      </c>
      <c r="W30">
        <v>0.23095753102998373</v>
      </c>
      <c r="X30">
        <f t="shared" si="2"/>
        <v>0.67890663960304598</v>
      </c>
      <c r="Y30">
        <f t="shared" si="3"/>
        <v>1.8026152726266074</v>
      </c>
      <c r="AA30" s="3">
        <f t="shared" si="4"/>
        <v>727.00609713657673</v>
      </c>
      <c r="AB30" s="6">
        <f t="shared" si="5"/>
        <v>713.42281046868891</v>
      </c>
      <c r="AC30" s="3">
        <f t="shared" si="6"/>
        <v>708.57163665872895</v>
      </c>
      <c r="AD30">
        <f t="shared" si="7"/>
        <v>458.23851959008181</v>
      </c>
      <c r="AE30">
        <f t="shared" si="8"/>
        <v>1.2609341877634561</v>
      </c>
      <c r="AF30">
        <f t="shared" si="9"/>
        <v>4.3139009816413589E-2</v>
      </c>
      <c r="AG30">
        <f t="shared" si="10"/>
        <v>4.4879637594191363E-2</v>
      </c>
      <c r="AH30">
        <f t="shared" si="11"/>
        <v>4.0349275173105645E-2</v>
      </c>
      <c r="AI30" s="7">
        <f t="shared" si="12"/>
        <v>460.9880343650787</v>
      </c>
    </row>
    <row r="31" spans="1:35" x14ac:dyDescent="0.25">
      <c r="A31">
        <v>50.771999999999998</v>
      </c>
      <c r="B31">
        <v>7.891</v>
      </c>
      <c r="C31">
        <v>79.013000000000005</v>
      </c>
      <c r="D31">
        <v>522.79600000000005</v>
      </c>
      <c r="E31">
        <v>348.71899999999999</v>
      </c>
      <c r="F31">
        <v>2.5499999999999998</v>
      </c>
      <c r="G31">
        <v>81.031999999999996</v>
      </c>
      <c r="H31">
        <v>79.697999999999993</v>
      </c>
      <c r="I31">
        <v>5.2960000000000003</v>
      </c>
      <c r="J31">
        <v>8.327</v>
      </c>
      <c r="K31">
        <v>54384.540999999997</v>
      </c>
      <c r="L31">
        <v>20.901</v>
      </c>
      <c r="M31">
        <f t="shared" si="0"/>
        <v>2.3130555555555555E-6</v>
      </c>
      <c r="N31">
        <v>282.44620499999996</v>
      </c>
      <c r="O31">
        <v>353.92381499999999</v>
      </c>
      <c r="P31">
        <v>913.74600799999996</v>
      </c>
      <c r="Q31">
        <v>713.90561199999979</v>
      </c>
      <c r="R31">
        <f t="shared" si="1"/>
        <v>1.7400471475718999</v>
      </c>
      <c r="S31">
        <v>1.6838670539358063</v>
      </c>
      <c r="T31">
        <v>71.477610000000027</v>
      </c>
      <c r="U31">
        <v>199.84039600000017</v>
      </c>
      <c r="V31">
        <v>559.82219299999997</v>
      </c>
      <c r="W31">
        <v>0.22929206381069667</v>
      </c>
      <c r="X31">
        <f t="shared" si="2"/>
        <v>0.67757536834343746</v>
      </c>
      <c r="Y31">
        <f t="shared" si="3"/>
        <v>1.7917984169080858</v>
      </c>
      <c r="AA31" s="3">
        <f t="shared" si="4"/>
        <v>725.99647955323132</v>
      </c>
      <c r="AB31" s="6">
        <f t="shared" si="5"/>
        <v>712.39518391080401</v>
      </c>
      <c r="AC31" s="3">
        <f t="shared" si="6"/>
        <v>707.53757832422286</v>
      </c>
      <c r="AD31">
        <f t="shared" si="7"/>
        <v>455.90362825843602</v>
      </c>
      <c r="AE31">
        <f t="shared" si="8"/>
        <v>1.2609341877634561</v>
      </c>
      <c r="AF31">
        <f t="shared" si="9"/>
        <v>4.3139009816413589E-2</v>
      </c>
      <c r="AG31">
        <f t="shared" si="10"/>
        <v>4.4920062594191366E-2</v>
      </c>
      <c r="AH31">
        <f t="shared" si="11"/>
        <v>4.1286362050436315E-2</v>
      </c>
      <c r="AI31" s="7">
        <f t="shared" si="12"/>
        <v>458.72833057283009</v>
      </c>
    </row>
    <row r="32" spans="1:35" x14ac:dyDescent="0.25">
      <c r="A32">
        <v>51.771999999999998</v>
      </c>
      <c r="B32">
        <v>7.8289999999999997</v>
      </c>
      <c r="C32">
        <v>79.063999999999993</v>
      </c>
      <c r="D32">
        <v>519.9</v>
      </c>
      <c r="E32">
        <v>349.57900000000001</v>
      </c>
      <c r="F32">
        <v>2.5590000000000002</v>
      </c>
      <c r="G32">
        <v>81.111000000000004</v>
      </c>
      <c r="H32">
        <v>79.602999999999994</v>
      </c>
      <c r="I32">
        <v>5.4</v>
      </c>
      <c r="J32">
        <v>8.2899999999999991</v>
      </c>
      <c r="K32">
        <v>54350.266000000003</v>
      </c>
      <c r="L32">
        <v>20.16</v>
      </c>
      <c r="M32">
        <f t="shared" si="0"/>
        <v>2.3027777777777774E-6</v>
      </c>
      <c r="N32">
        <v>282.38389499999994</v>
      </c>
      <c r="O32">
        <v>353.9750699999999</v>
      </c>
      <c r="P32">
        <v>910.42139999999984</v>
      </c>
      <c r="Q32">
        <v>714.89289199999996</v>
      </c>
      <c r="R32">
        <f t="shared" si="1"/>
        <v>1.7406443583288547</v>
      </c>
      <c r="S32">
        <v>1.6813865932047749</v>
      </c>
      <c r="T32">
        <v>71.591174999999964</v>
      </c>
      <c r="U32">
        <v>195.52850799999987</v>
      </c>
      <c r="V32">
        <v>556.44632999999999</v>
      </c>
      <c r="W32">
        <v>0.2227300753335904</v>
      </c>
      <c r="X32">
        <f t="shared" si="2"/>
        <v>0.67680435145786388</v>
      </c>
      <c r="Y32">
        <f t="shared" si="3"/>
        <v>1.7642133464063998</v>
      </c>
      <c r="AA32" s="3">
        <f t="shared" si="4"/>
        <v>723.53963139872371</v>
      </c>
      <c r="AB32" s="6">
        <f t="shared" si="5"/>
        <v>710.02372639291991</v>
      </c>
      <c r="AC32" s="3">
        <f t="shared" si="6"/>
        <v>705.19661746227575</v>
      </c>
      <c r="AD32">
        <f t="shared" si="7"/>
        <v>447.69263094018424</v>
      </c>
      <c r="AE32">
        <f t="shared" si="8"/>
        <v>1.2609341877634561</v>
      </c>
      <c r="AF32">
        <f t="shared" si="9"/>
        <v>4.3139009816413589E-2</v>
      </c>
      <c r="AG32">
        <f t="shared" si="10"/>
        <v>4.4912148705302475E-2</v>
      </c>
      <c r="AH32">
        <f t="shared" si="11"/>
        <v>4.1102911180271047E-2</v>
      </c>
      <c r="AI32" s="7">
        <f t="shared" si="12"/>
        <v>450.17765352153987</v>
      </c>
    </row>
    <row r="33" spans="1:35" x14ac:dyDescent="0.25">
      <c r="A33">
        <v>52.771999999999998</v>
      </c>
      <c r="B33">
        <v>7.726</v>
      </c>
      <c r="C33">
        <v>79.100999999999999</v>
      </c>
      <c r="D33">
        <v>519.44399999999996</v>
      </c>
      <c r="E33">
        <v>349.46699999999998</v>
      </c>
      <c r="F33">
        <v>2.552</v>
      </c>
      <c r="G33">
        <v>81.028000000000006</v>
      </c>
      <c r="H33">
        <v>79.486000000000004</v>
      </c>
      <c r="I33">
        <v>5.3470000000000004</v>
      </c>
      <c r="J33">
        <v>8.8559999999999999</v>
      </c>
      <c r="K33">
        <v>54339.955000000002</v>
      </c>
      <c r="L33">
        <v>20.407</v>
      </c>
      <c r="M33">
        <f t="shared" si="0"/>
        <v>2.4599999999999997E-6</v>
      </c>
      <c r="N33">
        <v>282.28037999999992</v>
      </c>
      <c r="O33">
        <v>354.01225499999993</v>
      </c>
      <c r="P33">
        <v>909.89791199999991</v>
      </c>
      <c r="Q33">
        <v>714.76431599999989</v>
      </c>
      <c r="R33">
        <f t="shared" si="1"/>
        <v>1.7399766152453515</v>
      </c>
      <c r="S33">
        <v>1.6811303940393396</v>
      </c>
      <c r="T33">
        <v>71.731875000000002</v>
      </c>
      <c r="U33">
        <v>195.13359600000001</v>
      </c>
      <c r="V33">
        <v>555.88565700000004</v>
      </c>
      <c r="W33">
        <v>0.22199119449487792</v>
      </c>
      <c r="X33">
        <f t="shared" si="2"/>
        <v>0.67472380794353937</v>
      </c>
      <c r="Y33">
        <f t="shared" si="3"/>
        <v>1.7621470529038714</v>
      </c>
      <c r="AA33" s="3">
        <f t="shared" si="4"/>
        <v>723.14267935208795</v>
      </c>
      <c r="AB33" s="6">
        <f t="shared" si="5"/>
        <v>709.63825589277167</v>
      </c>
      <c r="AC33" s="3">
        <f t="shared" si="6"/>
        <v>704.81524751444442</v>
      </c>
      <c r="AD33">
        <f t="shared" si="7"/>
        <v>446.99083159479216</v>
      </c>
      <c r="AE33">
        <f t="shared" si="8"/>
        <v>1.2609341877634561</v>
      </c>
      <c r="AF33">
        <f t="shared" si="9"/>
        <v>4.3139009816413589E-2</v>
      </c>
      <c r="AG33">
        <f t="shared" si="10"/>
        <v>4.5033209816413587E-2</v>
      </c>
      <c r="AH33">
        <f t="shared" si="11"/>
        <v>4.3909213680636959E-2</v>
      </c>
      <c r="AI33" s="7">
        <f t="shared" si="12"/>
        <v>448.59637292332394</v>
      </c>
    </row>
    <row r="34" spans="1:35" x14ac:dyDescent="0.25">
      <c r="A34">
        <v>53.771999999999998</v>
      </c>
      <c r="B34">
        <v>7.6360000000000001</v>
      </c>
      <c r="C34">
        <v>79.069999999999993</v>
      </c>
      <c r="D34">
        <v>519.44600000000003</v>
      </c>
      <c r="E34">
        <v>349.822</v>
      </c>
      <c r="F34">
        <v>2.5569999999999999</v>
      </c>
      <c r="G34">
        <v>81.454999999999998</v>
      </c>
      <c r="H34">
        <v>80.034999999999997</v>
      </c>
      <c r="I34">
        <v>5.468</v>
      </c>
      <c r="J34">
        <v>8.1379999999999999</v>
      </c>
      <c r="K34">
        <v>54354.495999999999</v>
      </c>
      <c r="L34">
        <v>20.390999999999998</v>
      </c>
      <c r="M34">
        <f t="shared" si="0"/>
        <v>2.2605555555555552E-6</v>
      </c>
      <c r="N34">
        <v>282.18992999999995</v>
      </c>
      <c r="O34">
        <v>353.98109999999991</v>
      </c>
      <c r="P34">
        <v>909.90020799999991</v>
      </c>
      <c r="Q34">
        <v>715.17185599999993</v>
      </c>
      <c r="R34">
        <f t="shared" si="1"/>
        <v>1.7439207218759722</v>
      </c>
      <c r="S34">
        <v>1.6843018133764041</v>
      </c>
      <c r="T34">
        <v>71.791169999999966</v>
      </c>
      <c r="U34">
        <v>194.72835199999997</v>
      </c>
      <c r="V34">
        <v>555.91910800000005</v>
      </c>
      <c r="W34">
        <v>0.22114221337396447</v>
      </c>
      <c r="X34">
        <f t="shared" si="2"/>
        <v>0.67693028024887414</v>
      </c>
      <c r="Y34">
        <f t="shared" si="3"/>
        <v>1.7525296761065929</v>
      </c>
      <c r="AA34" s="3">
        <f t="shared" si="4"/>
        <v>722.90857520767258</v>
      </c>
      <c r="AB34" s="6">
        <f t="shared" si="5"/>
        <v>709.35824260916456</v>
      </c>
      <c r="AC34" s="3">
        <f t="shared" si="6"/>
        <v>704.51883810969741</v>
      </c>
      <c r="AD34">
        <f t="shared" si="7"/>
        <v>445.35695013173631</v>
      </c>
      <c r="AE34">
        <f t="shared" si="8"/>
        <v>1.2609341877634561</v>
      </c>
      <c r="AF34">
        <f t="shared" si="9"/>
        <v>4.3139009816413589E-2</v>
      </c>
      <c r="AG34">
        <f t="shared" si="10"/>
        <v>4.4879637594191363E-2</v>
      </c>
      <c r="AH34">
        <f t="shared" si="11"/>
        <v>4.0349275173105645E-2</v>
      </c>
      <c r="AI34" s="7">
        <f t="shared" si="12"/>
        <v>448.47506826412467</v>
      </c>
    </row>
    <row r="35" spans="1:35" x14ac:dyDescent="0.25">
      <c r="A35">
        <v>54.771999999999998</v>
      </c>
      <c r="B35">
        <v>7.476</v>
      </c>
      <c r="C35">
        <v>79.197000000000003</v>
      </c>
      <c r="D35">
        <v>519.30999999999995</v>
      </c>
      <c r="E35">
        <v>349.15</v>
      </c>
      <c r="F35">
        <v>2.5680000000000001</v>
      </c>
      <c r="G35">
        <v>81.465999999999994</v>
      </c>
      <c r="H35">
        <v>80.012</v>
      </c>
      <c r="I35">
        <v>5.5369999999999999</v>
      </c>
      <c r="J35">
        <v>7.5880000000000001</v>
      </c>
      <c r="K35">
        <v>54384.387000000002</v>
      </c>
      <c r="L35">
        <v>21</v>
      </c>
      <c r="M35">
        <f t="shared" si="0"/>
        <v>2.107777777777778E-6</v>
      </c>
      <c r="N35">
        <v>282.02912999999995</v>
      </c>
      <c r="O35">
        <v>354.10873499999997</v>
      </c>
      <c r="P35">
        <v>909.74407999999983</v>
      </c>
      <c r="Q35">
        <v>714.40039999999988</v>
      </c>
      <c r="R35">
        <f t="shared" si="1"/>
        <v>1.7438435720481202</v>
      </c>
      <c r="S35">
        <v>1.6830250282014361</v>
      </c>
      <c r="T35">
        <v>72.079605000000015</v>
      </c>
      <c r="U35">
        <v>195.34367999999995</v>
      </c>
      <c r="V35">
        <v>555.63534499999992</v>
      </c>
      <c r="W35">
        <v>0.22184347361847537</v>
      </c>
      <c r="X35">
        <f t="shared" si="2"/>
        <v>0.67377929894780253</v>
      </c>
      <c r="Y35">
        <f t="shared" si="3"/>
        <v>1.7607674729032716</v>
      </c>
      <c r="AA35" s="3">
        <f t="shared" si="4"/>
        <v>722.87943250008539</v>
      </c>
      <c r="AB35" s="6">
        <f t="shared" si="5"/>
        <v>709.34987770843532</v>
      </c>
      <c r="AC35" s="3">
        <f t="shared" si="6"/>
        <v>704.51789385427469</v>
      </c>
      <c r="AD35">
        <f t="shared" si="7"/>
        <v>447.06433454097811</v>
      </c>
      <c r="AE35">
        <f t="shared" si="8"/>
        <v>1.2609341877634561</v>
      </c>
      <c r="AF35">
        <f t="shared" si="9"/>
        <v>4.3139009816413589E-2</v>
      </c>
      <c r="AG35">
        <f t="shared" si="10"/>
        <v>4.476199870530248E-2</v>
      </c>
      <c r="AH35">
        <f t="shared" si="11"/>
        <v>3.7622302778757152E-2</v>
      </c>
      <c r="AI35" s="7">
        <f t="shared" si="12"/>
        <v>451.85459260439734</v>
      </c>
    </row>
    <row r="36" spans="1:35" x14ac:dyDescent="0.25">
      <c r="A36">
        <v>55.773000000000003</v>
      </c>
      <c r="B36">
        <v>7.4669999999999996</v>
      </c>
      <c r="C36">
        <v>79.141000000000005</v>
      </c>
      <c r="D36">
        <v>519.87</v>
      </c>
      <c r="E36">
        <v>349.904</v>
      </c>
      <c r="F36">
        <v>2.5550000000000002</v>
      </c>
      <c r="G36">
        <v>81.037999999999997</v>
      </c>
      <c r="H36">
        <v>79.697000000000003</v>
      </c>
      <c r="I36">
        <v>5.3019999999999996</v>
      </c>
      <c r="J36">
        <v>7.7350000000000003</v>
      </c>
      <c r="K36">
        <v>54415.135999999999</v>
      </c>
      <c r="L36">
        <v>20.390999999999998</v>
      </c>
      <c r="M36">
        <f t="shared" si="0"/>
        <v>2.1486111111111111E-6</v>
      </c>
      <c r="N36">
        <v>282.02008499999994</v>
      </c>
      <c r="O36">
        <v>354.05245499999995</v>
      </c>
      <c r="P36">
        <v>910.38695999999993</v>
      </c>
      <c r="Q36">
        <v>715.26599199999987</v>
      </c>
      <c r="R36">
        <f t="shared" si="1"/>
        <v>1.7400216868605911</v>
      </c>
      <c r="S36">
        <v>1.6837650043197736</v>
      </c>
      <c r="T36">
        <v>72.032370000000014</v>
      </c>
      <c r="U36">
        <v>195.12096800000006</v>
      </c>
      <c r="V36">
        <v>556.33450500000004</v>
      </c>
      <c r="W36">
        <v>0.22124926082016078</v>
      </c>
      <c r="X36">
        <f t="shared" si="2"/>
        <v>0.67132345224393342</v>
      </c>
      <c r="Y36">
        <f t="shared" si="3"/>
        <v>1.7561296300424214</v>
      </c>
      <c r="AA36" s="3">
        <f t="shared" si="4"/>
        <v>723.33521255236496</v>
      </c>
      <c r="AB36" s="6">
        <f t="shared" si="5"/>
        <v>709.78539277088043</v>
      </c>
      <c r="AC36" s="3">
        <f t="shared" si="6"/>
        <v>704.9461714203502</v>
      </c>
      <c r="AD36">
        <f t="shared" si="7"/>
        <v>446.2457594218028</v>
      </c>
      <c r="AE36">
        <f t="shared" si="8"/>
        <v>1.2609341877634561</v>
      </c>
      <c r="AF36">
        <f t="shared" si="9"/>
        <v>4.3139009816413589E-2</v>
      </c>
      <c r="AG36">
        <f t="shared" si="10"/>
        <v>4.4793440371969147E-2</v>
      </c>
      <c r="AH36">
        <f t="shared" si="11"/>
        <v>3.8351148127792112E-2</v>
      </c>
      <c r="AI36" s="7">
        <f t="shared" si="12"/>
        <v>450.15482337170818</v>
      </c>
    </row>
    <row r="37" spans="1:35" x14ac:dyDescent="0.25">
      <c r="A37">
        <v>56.771999999999998</v>
      </c>
      <c r="B37">
        <v>7.3970000000000002</v>
      </c>
      <c r="C37">
        <v>79.260000000000005</v>
      </c>
      <c r="D37">
        <v>521.83699999999999</v>
      </c>
      <c r="E37">
        <v>349.71600000000001</v>
      </c>
      <c r="F37">
        <v>2.569</v>
      </c>
      <c r="G37">
        <v>81.337999999999994</v>
      </c>
      <c r="H37">
        <v>79.858000000000004</v>
      </c>
      <c r="I37">
        <v>5.5309999999999997</v>
      </c>
      <c r="J37">
        <v>7.532</v>
      </c>
      <c r="K37">
        <v>54424.048000000003</v>
      </c>
      <c r="L37">
        <v>20.863</v>
      </c>
      <c r="M37">
        <f t="shared" si="0"/>
        <v>2.092222222222222E-6</v>
      </c>
      <c r="N37">
        <v>281.94973499999992</v>
      </c>
      <c r="O37">
        <v>354.17204999999996</v>
      </c>
      <c r="P37">
        <v>912.6450759999999</v>
      </c>
      <c r="Q37">
        <v>715.05016799999987</v>
      </c>
      <c r="R37">
        <f t="shared" si="1"/>
        <v>1.7426203697593075</v>
      </c>
      <c r="S37">
        <v>1.6817052031073731</v>
      </c>
      <c r="T37">
        <v>72.222315000000037</v>
      </c>
      <c r="U37">
        <v>197.59490800000003</v>
      </c>
      <c r="V37">
        <v>558.47302599999989</v>
      </c>
      <c r="W37">
        <v>0.22449176086080122</v>
      </c>
      <c r="X37">
        <f t="shared" si="2"/>
        <v>0.67134127227435891</v>
      </c>
      <c r="Y37">
        <f t="shared" si="3"/>
        <v>1.7779069645788657</v>
      </c>
      <c r="AA37" s="3">
        <f t="shared" si="4"/>
        <v>725.28306021631465</v>
      </c>
      <c r="AB37" s="6">
        <f t="shared" si="5"/>
        <v>711.72951636948699</v>
      </c>
      <c r="AC37" s="3">
        <f t="shared" si="6"/>
        <v>706.88896499561997</v>
      </c>
      <c r="AD37">
        <f t="shared" si="7"/>
        <v>451.697502300314</v>
      </c>
      <c r="AE37">
        <f t="shared" si="8"/>
        <v>1.2609341877634561</v>
      </c>
      <c r="AF37">
        <f t="shared" si="9"/>
        <v>4.3139009816413589E-2</v>
      </c>
      <c r="AG37">
        <f t="shared" si="10"/>
        <v>4.4750020927524697E-2</v>
      </c>
      <c r="AH37">
        <f t="shared" si="11"/>
        <v>3.7344647407696212E-2</v>
      </c>
      <c r="AI37" s="7">
        <f t="shared" si="12"/>
        <v>456.29928766880624</v>
      </c>
    </row>
    <row r="38" spans="1:35" x14ac:dyDescent="0.25">
      <c r="A38">
        <v>57.774000000000001</v>
      </c>
      <c r="B38">
        <v>7.4359999999999999</v>
      </c>
      <c r="C38">
        <v>79.167000000000002</v>
      </c>
      <c r="D38">
        <v>519.20000000000005</v>
      </c>
      <c r="E38">
        <v>349.68400000000003</v>
      </c>
      <c r="F38">
        <v>2.5539999999999998</v>
      </c>
      <c r="G38">
        <v>80.974999999999994</v>
      </c>
      <c r="H38">
        <v>79.549000000000007</v>
      </c>
      <c r="I38">
        <v>5.7590000000000003</v>
      </c>
      <c r="J38">
        <v>7.798</v>
      </c>
      <c r="K38">
        <v>54431.593999999997</v>
      </c>
      <c r="L38">
        <v>20.506</v>
      </c>
      <c r="M38">
        <f t="shared" si="0"/>
        <v>2.1661111111111113E-6</v>
      </c>
      <c r="N38">
        <v>281.98892999999993</v>
      </c>
      <c r="O38">
        <v>354.07858499999998</v>
      </c>
      <c r="P38">
        <v>909.61779999999999</v>
      </c>
      <c r="Q38">
        <v>715.01343199999997</v>
      </c>
      <c r="R38">
        <f t="shared" si="1"/>
        <v>1.7394440568012521</v>
      </c>
      <c r="S38">
        <v>1.6753677042623492</v>
      </c>
      <c r="T38">
        <v>72.08965500000005</v>
      </c>
      <c r="U38">
        <v>194.60436800000002</v>
      </c>
      <c r="V38">
        <v>555.53921500000001</v>
      </c>
      <c r="W38">
        <v>0.22053296993624469</v>
      </c>
      <c r="X38">
        <f t="shared" si="2"/>
        <v>0.67028121411154218</v>
      </c>
      <c r="Y38">
        <f t="shared" si="3"/>
        <v>1.7688639595655362</v>
      </c>
      <c r="AA38" s="3">
        <f t="shared" si="4"/>
        <v>723.35005269485055</v>
      </c>
      <c r="AB38" s="6">
        <f t="shared" si="5"/>
        <v>709.9333962744048</v>
      </c>
      <c r="AC38" s="3">
        <f t="shared" si="6"/>
        <v>705.14173326710284</v>
      </c>
      <c r="AD38">
        <f t="shared" si="7"/>
        <v>447.19147336016289</v>
      </c>
      <c r="AE38">
        <f t="shared" si="8"/>
        <v>1.2609341877634561</v>
      </c>
      <c r="AF38">
        <f t="shared" si="9"/>
        <v>4.3139009816413589E-2</v>
      </c>
      <c r="AG38">
        <f t="shared" si="10"/>
        <v>4.4806915371969146E-2</v>
      </c>
      <c r="AH38">
        <f t="shared" si="11"/>
        <v>3.8663510420235671E-2</v>
      </c>
      <c r="AI38" s="7">
        <f t="shared" si="12"/>
        <v>451.0510888317358</v>
      </c>
    </row>
    <row r="39" spans="1:35" x14ac:dyDescent="0.25">
      <c r="A39">
        <v>58.774000000000001</v>
      </c>
      <c r="B39">
        <v>7.6020000000000003</v>
      </c>
      <c r="C39">
        <v>79.228999999999999</v>
      </c>
      <c r="D39">
        <v>517.00900000000001</v>
      </c>
      <c r="E39">
        <v>350.22500000000002</v>
      </c>
      <c r="F39">
        <v>2.5819999999999999</v>
      </c>
      <c r="G39">
        <v>81.358000000000004</v>
      </c>
      <c r="H39">
        <v>79.936999999999998</v>
      </c>
      <c r="I39">
        <v>5.5529999999999999</v>
      </c>
      <c r="J39">
        <v>7.4950000000000001</v>
      </c>
      <c r="K39">
        <v>54413.89</v>
      </c>
      <c r="L39">
        <v>20.204000000000001</v>
      </c>
      <c r="M39">
        <f t="shared" si="0"/>
        <v>2.0819444444444443E-6</v>
      </c>
      <c r="N39">
        <v>282.15575999999993</v>
      </c>
      <c r="O39">
        <v>354.14089499999994</v>
      </c>
      <c r="P39">
        <v>907.10253199999988</v>
      </c>
      <c r="Q39">
        <v>715.63449999999989</v>
      </c>
      <c r="R39">
        <f t="shared" si="1"/>
        <v>1.7425953507663885</v>
      </c>
      <c r="S39">
        <v>1.6820903597333408</v>
      </c>
      <c r="T39">
        <v>71.985135000000014</v>
      </c>
      <c r="U39">
        <v>191.46803199999999</v>
      </c>
      <c r="V39">
        <v>552.96163699999988</v>
      </c>
      <c r="W39">
        <v>0.21607809476301881</v>
      </c>
      <c r="X39">
        <f t="shared" si="2"/>
        <v>0.6740265711509742</v>
      </c>
      <c r="Y39">
        <f t="shared" si="3"/>
        <v>1.7325906217490006</v>
      </c>
      <c r="AA39" s="3">
        <f t="shared" si="4"/>
        <v>720.84979418265686</v>
      </c>
      <c r="AB39" s="6">
        <f t="shared" si="5"/>
        <v>707.37300416261792</v>
      </c>
      <c r="AC39" s="3">
        <f t="shared" si="6"/>
        <v>702.55986486974689</v>
      </c>
      <c r="AD39">
        <f t="shared" si="7"/>
        <v>439.15762267934133</v>
      </c>
      <c r="AE39">
        <f t="shared" si="8"/>
        <v>1.2609341877634561</v>
      </c>
      <c r="AF39">
        <f t="shared" si="9"/>
        <v>4.3139009816413589E-2</v>
      </c>
      <c r="AG39">
        <f t="shared" si="10"/>
        <v>4.4742107038635813E-2</v>
      </c>
      <c r="AH39">
        <f t="shared" si="11"/>
        <v>3.7161196537530944E-2</v>
      </c>
      <c r="AI39" s="7">
        <f t="shared" si="12"/>
        <v>443.62672748482049</v>
      </c>
    </row>
    <row r="40" spans="1:35" x14ac:dyDescent="0.25">
      <c r="A40">
        <v>59.774000000000001</v>
      </c>
      <c r="B40">
        <v>7.6989999999999998</v>
      </c>
      <c r="C40">
        <v>79.260000000000005</v>
      </c>
      <c r="D40">
        <v>515.28399999999999</v>
      </c>
      <c r="E40">
        <v>350.36500000000001</v>
      </c>
      <c r="F40">
        <v>2.5609999999999999</v>
      </c>
      <c r="G40">
        <v>81.215000000000003</v>
      </c>
      <c r="H40">
        <v>79.917000000000002</v>
      </c>
      <c r="I40">
        <v>5.3959999999999999</v>
      </c>
      <c r="J40">
        <v>8.5540000000000003</v>
      </c>
      <c r="K40">
        <v>54413.671999999999</v>
      </c>
      <c r="L40">
        <v>20.297999999999998</v>
      </c>
      <c r="M40">
        <f t="shared" si="0"/>
        <v>2.3761111111111114E-6</v>
      </c>
      <c r="N40">
        <v>282.25324499999994</v>
      </c>
      <c r="O40">
        <v>354.17204999999996</v>
      </c>
      <c r="P40">
        <v>905.12223199999994</v>
      </c>
      <c r="Q40">
        <v>715.79521999999997</v>
      </c>
      <c r="R40">
        <f t="shared" si="1"/>
        <v>1.7415921026579044</v>
      </c>
      <c r="S40">
        <v>1.6843318395533353</v>
      </c>
      <c r="T40">
        <v>71.91880500000002</v>
      </c>
      <c r="U40">
        <v>189.32701199999997</v>
      </c>
      <c r="V40">
        <v>550.95018200000004</v>
      </c>
      <c r="W40">
        <v>0.21310131267004453</v>
      </c>
      <c r="X40">
        <f t="shared" si="2"/>
        <v>0.67412457725604946</v>
      </c>
      <c r="Y40">
        <f t="shared" si="3"/>
        <v>1.7128581612237084</v>
      </c>
      <c r="AA40" s="3">
        <f t="shared" si="4"/>
        <v>719.11029142440611</v>
      </c>
      <c r="AB40" s="6">
        <f t="shared" si="5"/>
        <v>705.63068142359612</v>
      </c>
      <c r="AC40" s="3">
        <f t="shared" si="6"/>
        <v>700.81653499473543</v>
      </c>
      <c r="AD40">
        <f t="shared" si="7"/>
        <v>434.20917142383888</v>
      </c>
      <c r="AE40">
        <f t="shared" si="8"/>
        <v>1.2609341877634561</v>
      </c>
      <c r="AF40">
        <f t="shared" si="9"/>
        <v>4.3139009816413589E-2</v>
      </c>
      <c r="AG40">
        <f t="shared" si="10"/>
        <v>4.4968615371969146E-2</v>
      </c>
      <c r="AH40">
        <f t="shared" si="11"/>
        <v>4.2411857929558344E-2</v>
      </c>
      <c r="AI40" s="7">
        <f t="shared" si="12"/>
        <v>436.84081666199239</v>
      </c>
    </row>
    <row r="41" spans="1:35" x14ac:dyDescent="0.25">
      <c r="A41">
        <v>60.774999999999999</v>
      </c>
      <c r="B41">
        <v>7.7530000000000001</v>
      </c>
      <c r="C41">
        <v>79.325000000000003</v>
      </c>
      <c r="D41">
        <v>516.98599999999999</v>
      </c>
      <c r="E41">
        <v>350.80500000000001</v>
      </c>
      <c r="F41">
        <v>2.573</v>
      </c>
      <c r="G41">
        <v>81.617999999999995</v>
      </c>
      <c r="H41">
        <v>80.194000000000003</v>
      </c>
      <c r="I41">
        <v>5.4420000000000002</v>
      </c>
      <c r="J41">
        <v>8.2520000000000007</v>
      </c>
      <c r="K41">
        <v>54436.542999999998</v>
      </c>
      <c r="L41">
        <v>20.917000000000002</v>
      </c>
      <c r="M41">
        <f t="shared" si="0"/>
        <v>2.2922222222222223E-6</v>
      </c>
      <c r="N41">
        <v>282.30751499999991</v>
      </c>
      <c r="O41">
        <v>354.23737499999993</v>
      </c>
      <c r="P41">
        <v>907.07612799999993</v>
      </c>
      <c r="Q41">
        <v>716.30033999999989</v>
      </c>
      <c r="R41">
        <f t="shared" si="1"/>
        <v>1.7451943472891311</v>
      </c>
      <c r="S41">
        <v>1.6861632795432433</v>
      </c>
      <c r="T41">
        <v>71.929860000000019</v>
      </c>
      <c r="U41">
        <v>190.77578800000003</v>
      </c>
      <c r="V41">
        <v>552.838753</v>
      </c>
      <c r="W41">
        <v>0.21497394557649618</v>
      </c>
      <c r="X41">
        <f t="shared" si="2"/>
        <v>0.67686633840398458</v>
      </c>
      <c r="Y41">
        <f t="shared" si="3"/>
        <v>1.7188933660232149</v>
      </c>
      <c r="AA41" s="3">
        <f t="shared" si="4"/>
        <v>720.52707465006984</v>
      </c>
      <c r="AB41" s="6">
        <f t="shared" si="5"/>
        <v>706.99200583202798</v>
      </c>
      <c r="AC41" s="3">
        <f t="shared" si="6"/>
        <v>702.1580526827272</v>
      </c>
      <c r="AD41">
        <f t="shared" si="7"/>
        <v>436.63825461168244</v>
      </c>
      <c r="AE41">
        <f t="shared" si="8"/>
        <v>1.2609341877634561</v>
      </c>
      <c r="AF41">
        <f t="shared" si="9"/>
        <v>4.3139009816413589E-2</v>
      </c>
      <c r="AG41">
        <f t="shared" si="10"/>
        <v>4.4904020927524699E-2</v>
      </c>
      <c r="AH41">
        <f t="shared" si="11"/>
        <v>4.0914502178479702E-2</v>
      </c>
      <c r="AI41" s="7">
        <f t="shared" si="12"/>
        <v>440.39261850455853</v>
      </c>
    </row>
    <row r="42" spans="1:35" x14ac:dyDescent="0.25">
      <c r="A42">
        <v>61.774999999999999</v>
      </c>
      <c r="B42">
        <v>7.7649999999999997</v>
      </c>
      <c r="C42">
        <v>79.331999999999994</v>
      </c>
      <c r="D42">
        <v>518.01199999999994</v>
      </c>
      <c r="E42">
        <v>350.56799999999998</v>
      </c>
      <c r="F42">
        <v>2.5790000000000002</v>
      </c>
      <c r="G42">
        <v>81.111999999999995</v>
      </c>
      <c r="H42">
        <v>79.849000000000004</v>
      </c>
      <c r="I42">
        <v>5.4290000000000003</v>
      </c>
      <c r="J42">
        <v>7.5949999999999998</v>
      </c>
      <c r="K42">
        <v>54455.815999999999</v>
      </c>
      <c r="L42">
        <v>21.300999999999998</v>
      </c>
      <c r="M42">
        <f t="shared" si="0"/>
        <v>2.1097222222222219E-6</v>
      </c>
      <c r="N42">
        <v>282.31957499999993</v>
      </c>
      <c r="O42">
        <v>354.24440999999996</v>
      </c>
      <c r="P42">
        <v>908.25397599999985</v>
      </c>
      <c r="Q42">
        <v>716.02826399999992</v>
      </c>
      <c r="R42">
        <f t="shared" si="1"/>
        <v>1.7403256063876922</v>
      </c>
      <c r="S42">
        <v>1.6831973120105757</v>
      </c>
      <c r="T42">
        <v>71.92483500000003</v>
      </c>
      <c r="U42">
        <v>192.22571199999993</v>
      </c>
      <c r="V42">
        <v>554.00956599999995</v>
      </c>
      <c r="W42">
        <v>0.21714584798342618</v>
      </c>
      <c r="X42">
        <f t="shared" si="2"/>
        <v>0.67327058124183004</v>
      </c>
      <c r="Y42">
        <f t="shared" si="3"/>
        <v>1.7351862559531794</v>
      </c>
      <c r="AA42" s="3">
        <f t="shared" si="4"/>
        <v>721.68261149840441</v>
      </c>
      <c r="AB42" s="6">
        <f t="shared" si="5"/>
        <v>708.17273040087184</v>
      </c>
      <c r="AC42" s="3">
        <f t="shared" si="6"/>
        <v>703.34777286603889</v>
      </c>
      <c r="AD42">
        <f t="shared" si="7"/>
        <v>440.34993016963438</v>
      </c>
      <c r="AE42">
        <f t="shared" si="8"/>
        <v>1.2609341877634561</v>
      </c>
      <c r="AF42">
        <f t="shared" si="9"/>
        <v>4.3139009816413589E-2</v>
      </c>
      <c r="AG42">
        <f t="shared" si="10"/>
        <v>4.4763495927524696E-2</v>
      </c>
      <c r="AH42">
        <f t="shared" si="11"/>
        <v>3.7657009700139757E-2</v>
      </c>
      <c r="AI42" s="7">
        <f t="shared" si="12"/>
        <v>445.67044583151414</v>
      </c>
    </row>
    <row r="43" spans="1:35" x14ac:dyDescent="0.25">
      <c r="A43">
        <v>62.774999999999999</v>
      </c>
      <c r="B43">
        <v>7.6609999999999996</v>
      </c>
      <c r="C43">
        <v>79.335999999999999</v>
      </c>
      <c r="D43">
        <v>518.529</v>
      </c>
      <c r="E43">
        <v>350.36500000000001</v>
      </c>
      <c r="F43">
        <v>2.59</v>
      </c>
      <c r="G43">
        <v>81.548000000000002</v>
      </c>
      <c r="H43">
        <v>80.069999999999993</v>
      </c>
      <c r="I43">
        <v>5.25</v>
      </c>
      <c r="J43">
        <v>8.1760000000000002</v>
      </c>
      <c r="K43">
        <v>54467.898000000001</v>
      </c>
      <c r="L43">
        <v>21.213999999999999</v>
      </c>
      <c r="M43">
        <f t="shared" si="0"/>
        <v>2.2711111111111116E-6</v>
      </c>
      <c r="N43">
        <v>282.21505499999995</v>
      </c>
      <c r="O43">
        <v>354.24842999999993</v>
      </c>
      <c r="P43">
        <v>908.84749199999987</v>
      </c>
      <c r="Q43">
        <v>715.79521999999997</v>
      </c>
      <c r="R43">
        <f t="shared" si="1"/>
        <v>1.7442548779338298</v>
      </c>
      <c r="S43">
        <v>1.6879999999999999</v>
      </c>
      <c r="T43">
        <v>72.033374999999978</v>
      </c>
      <c r="U43">
        <v>193.0522719999999</v>
      </c>
      <c r="V43">
        <v>554.599062</v>
      </c>
      <c r="W43">
        <v>0.21820970371565454</v>
      </c>
      <c r="X43">
        <f t="shared" si="2"/>
        <v>0.67496564630627143</v>
      </c>
      <c r="Y43">
        <f t="shared" si="3"/>
        <v>1.7326348618936251</v>
      </c>
      <c r="AA43" s="3">
        <f t="shared" si="4"/>
        <v>721.79810203187776</v>
      </c>
      <c r="AB43" s="6">
        <f t="shared" si="5"/>
        <v>708.21014964918731</v>
      </c>
      <c r="AC43" s="3">
        <f t="shared" si="6"/>
        <v>703.35730951251207</v>
      </c>
      <c r="AD43">
        <f t="shared" si="7"/>
        <v>440.97626193995308</v>
      </c>
      <c r="AE43">
        <f t="shared" si="8"/>
        <v>1.2609341877634561</v>
      </c>
      <c r="AF43">
        <f t="shared" si="9"/>
        <v>4.3139009816413589E-2</v>
      </c>
      <c r="AG43">
        <f t="shared" si="10"/>
        <v>4.4887765371969146E-2</v>
      </c>
      <c r="AH43">
        <f t="shared" si="11"/>
        <v>4.0537684174897011E-2</v>
      </c>
      <c r="AI43" s="7">
        <f t="shared" si="12"/>
        <v>445.01053197243778</v>
      </c>
    </row>
    <row r="44" spans="1:35" x14ac:dyDescent="0.25">
      <c r="A44">
        <v>63.776000000000003</v>
      </c>
      <c r="B44">
        <v>7.5529999999999999</v>
      </c>
      <c r="C44">
        <v>79.3</v>
      </c>
      <c r="D44">
        <v>519.91499999999996</v>
      </c>
      <c r="E44">
        <v>350.97699999999998</v>
      </c>
      <c r="F44">
        <v>2.6259999999999999</v>
      </c>
      <c r="G44">
        <v>81.679000000000002</v>
      </c>
      <c r="H44">
        <v>80.319999999999993</v>
      </c>
      <c r="I44">
        <v>5.5250000000000004</v>
      </c>
      <c r="J44">
        <v>8.1010000000000009</v>
      </c>
      <c r="K44">
        <v>54489.216999999997</v>
      </c>
      <c r="L44">
        <v>19.952000000000002</v>
      </c>
      <c r="M44">
        <f t="shared" si="0"/>
        <v>2.2502777777777779E-6</v>
      </c>
      <c r="N44">
        <v>282.10651499999994</v>
      </c>
      <c r="O44">
        <v>354.21224999999993</v>
      </c>
      <c r="P44">
        <v>910.4386199999999</v>
      </c>
      <c r="Q44">
        <v>716.49779599999988</v>
      </c>
      <c r="R44">
        <f t="shared" si="1"/>
        <v>1.7448975745811581</v>
      </c>
      <c r="S44">
        <v>1.686035313001605</v>
      </c>
      <c r="T44">
        <v>72.105734999999981</v>
      </c>
      <c r="U44">
        <v>193.94082400000002</v>
      </c>
      <c r="V44">
        <v>556.22636999999997</v>
      </c>
      <c r="W44">
        <v>0.2190386784430951</v>
      </c>
      <c r="X44">
        <f t="shared" si="2"/>
        <v>0.67451174499179489</v>
      </c>
      <c r="Y44">
        <f t="shared" si="3"/>
        <v>1.7411935385261155</v>
      </c>
      <c r="AA44" s="3">
        <f t="shared" si="4"/>
        <v>723.20753883404495</v>
      </c>
      <c r="AB44" s="6">
        <f t="shared" si="5"/>
        <v>709.62414360733135</v>
      </c>
      <c r="AC44" s="3">
        <f t="shared" si="6"/>
        <v>704.77293102636236</v>
      </c>
      <c r="AD44">
        <f t="shared" si="7"/>
        <v>443.05918534935364</v>
      </c>
      <c r="AE44">
        <f t="shared" si="8"/>
        <v>1.2609341877634561</v>
      </c>
      <c r="AF44">
        <f t="shared" si="9"/>
        <v>4.3139009816413589E-2</v>
      </c>
      <c r="AG44">
        <f t="shared" si="10"/>
        <v>4.4871723705302478E-2</v>
      </c>
      <c r="AH44">
        <f t="shared" si="11"/>
        <v>4.0165824302940391E-2</v>
      </c>
      <c r="AI44" s="7">
        <f t="shared" si="12"/>
        <v>445.9025311533058</v>
      </c>
    </row>
    <row r="45" spans="1:35" x14ac:dyDescent="0.25">
      <c r="A45">
        <v>64.775999999999996</v>
      </c>
      <c r="B45">
        <v>7.391</v>
      </c>
      <c r="C45">
        <v>79.302999999999997</v>
      </c>
      <c r="D45">
        <v>518.92100000000005</v>
      </c>
      <c r="E45">
        <v>350.49799999999999</v>
      </c>
      <c r="F45">
        <v>2.5880000000000001</v>
      </c>
      <c r="G45">
        <v>81.602000000000004</v>
      </c>
      <c r="H45">
        <v>80.158000000000001</v>
      </c>
      <c r="I45">
        <v>5.2779999999999996</v>
      </c>
      <c r="J45">
        <v>7.532</v>
      </c>
      <c r="K45">
        <v>54492.896999999997</v>
      </c>
      <c r="L45">
        <v>20.588000000000001</v>
      </c>
      <c r="M45">
        <f t="shared" si="0"/>
        <v>2.092222222222222E-6</v>
      </c>
      <c r="N45">
        <v>281.94370499999997</v>
      </c>
      <c r="O45">
        <v>354.21526499999993</v>
      </c>
      <c r="P45">
        <v>909.29750799999999</v>
      </c>
      <c r="Q45">
        <v>715.94790399999988</v>
      </c>
      <c r="R45">
        <f t="shared" si="1"/>
        <v>1.7447967724907625</v>
      </c>
      <c r="S45">
        <v>1.6883744874882789</v>
      </c>
      <c r="T45">
        <v>72.271559999999965</v>
      </c>
      <c r="U45">
        <v>193.34960400000011</v>
      </c>
      <c r="V45">
        <v>555.08224300000006</v>
      </c>
      <c r="W45">
        <v>0.21812631466216825</v>
      </c>
      <c r="X45">
        <f t="shared" si="2"/>
        <v>0.67250022062806569</v>
      </c>
      <c r="Y45">
        <f t="shared" si="3"/>
        <v>1.7337570015847341</v>
      </c>
      <c r="AA45" s="3">
        <f t="shared" si="4"/>
        <v>722.12777272584412</v>
      </c>
      <c r="AB45" s="6">
        <f t="shared" si="5"/>
        <v>708.52770075586943</v>
      </c>
      <c r="AC45" s="3">
        <f t="shared" si="6"/>
        <v>703.67053219516413</v>
      </c>
      <c r="AD45">
        <f t="shared" si="7"/>
        <v>441.45644511715585</v>
      </c>
      <c r="AE45">
        <f t="shared" si="8"/>
        <v>1.2609341877634561</v>
      </c>
      <c r="AF45">
        <f t="shared" si="9"/>
        <v>4.3139009816413589E-2</v>
      </c>
      <c r="AG45">
        <f t="shared" si="10"/>
        <v>4.4750020927524697E-2</v>
      </c>
      <c r="AH45">
        <f t="shared" si="11"/>
        <v>3.7344647407696212E-2</v>
      </c>
      <c r="AI45" s="7">
        <f t="shared" si="12"/>
        <v>446.15191091460957</v>
      </c>
    </row>
    <row r="46" spans="1:35" x14ac:dyDescent="0.25">
      <c r="A46">
        <v>65.775999999999996</v>
      </c>
      <c r="B46">
        <v>7.3760000000000003</v>
      </c>
      <c r="C46">
        <v>79.239999999999995</v>
      </c>
      <c r="D46">
        <v>519.46100000000001</v>
      </c>
      <c r="E46">
        <v>350.51400000000001</v>
      </c>
      <c r="F46">
        <v>2.5710000000000002</v>
      </c>
      <c r="G46">
        <v>81.421999999999997</v>
      </c>
      <c r="H46">
        <v>80.132000000000005</v>
      </c>
      <c r="I46">
        <v>5.2480000000000002</v>
      </c>
      <c r="J46">
        <v>8.2520000000000007</v>
      </c>
      <c r="K46">
        <v>54491.514000000003</v>
      </c>
      <c r="L46">
        <v>21.492999999999999</v>
      </c>
      <c r="M46">
        <f t="shared" si="0"/>
        <v>2.2922222222222223E-6</v>
      </c>
      <c r="N46">
        <v>281.92862999999994</v>
      </c>
      <c r="O46">
        <v>354.15194999999994</v>
      </c>
      <c r="P46">
        <v>909.91742799999997</v>
      </c>
      <c r="Q46">
        <v>715.96627199999989</v>
      </c>
      <c r="R46">
        <f t="shared" si="1"/>
        <v>1.7433794345297018</v>
      </c>
      <c r="S46">
        <v>1.6886011696766836</v>
      </c>
      <c r="T46">
        <v>72.223320000000001</v>
      </c>
      <c r="U46">
        <v>193.95115600000008</v>
      </c>
      <c r="V46">
        <v>555.76547800000003</v>
      </c>
      <c r="W46">
        <v>0.21902734304054788</v>
      </c>
      <c r="X46">
        <f t="shared" si="2"/>
        <v>0.67185094737142392</v>
      </c>
      <c r="Y46">
        <f t="shared" si="3"/>
        <v>1.7375493603231651</v>
      </c>
      <c r="AA46" s="3">
        <f t="shared" si="4"/>
        <v>722.60329674984541</v>
      </c>
      <c r="AB46" s="6">
        <f t="shared" si="5"/>
        <v>708.99068778453761</v>
      </c>
      <c r="AC46" s="3">
        <f t="shared" si="6"/>
        <v>704.12904172549906</v>
      </c>
      <c r="AD46">
        <f t="shared" si="7"/>
        <v>442.61730100991127</v>
      </c>
      <c r="AE46">
        <f t="shared" si="8"/>
        <v>1.2609341877634561</v>
      </c>
      <c r="AF46">
        <f t="shared" si="9"/>
        <v>4.3139009816413589E-2</v>
      </c>
      <c r="AG46">
        <f t="shared" si="10"/>
        <v>4.4904020927524699E-2</v>
      </c>
      <c r="AH46">
        <f t="shared" si="11"/>
        <v>4.0914502178479702E-2</v>
      </c>
      <c r="AI46" s="7">
        <f t="shared" si="12"/>
        <v>446.7126506856028</v>
      </c>
    </row>
    <row r="47" spans="1:35" x14ac:dyDescent="0.25">
      <c r="A47">
        <v>66.777000000000001</v>
      </c>
      <c r="B47">
        <v>7.2430000000000003</v>
      </c>
      <c r="C47">
        <v>79.108000000000004</v>
      </c>
      <c r="D47">
        <v>522.78</v>
      </c>
      <c r="E47">
        <v>350.44600000000003</v>
      </c>
      <c r="F47">
        <v>2.617</v>
      </c>
      <c r="G47">
        <v>81.546000000000006</v>
      </c>
      <c r="H47">
        <v>80.162999999999997</v>
      </c>
      <c r="I47">
        <v>5.4690000000000003</v>
      </c>
      <c r="J47">
        <v>7.3049999999999997</v>
      </c>
      <c r="K47">
        <v>54478.533000000003</v>
      </c>
      <c r="L47">
        <v>20.808</v>
      </c>
      <c r="M47">
        <f t="shared" si="0"/>
        <v>2.0291666666666666E-6</v>
      </c>
      <c r="N47">
        <v>281.79496499999993</v>
      </c>
      <c r="O47">
        <v>354.01928999999996</v>
      </c>
      <c r="P47">
        <v>913.72763999999984</v>
      </c>
      <c r="Q47">
        <v>715.88820799999996</v>
      </c>
      <c r="R47">
        <f t="shared" si="1"/>
        <v>1.7437922293317751</v>
      </c>
      <c r="S47">
        <v>1.6854610026704844</v>
      </c>
      <c r="T47">
        <v>72.224325000000022</v>
      </c>
      <c r="U47">
        <v>197.83943199999987</v>
      </c>
      <c r="V47">
        <v>559.70834999999988</v>
      </c>
      <c r="W47">
        <v>0.22442957479551606</v>
      </c>
      <c r="X47">
        <f t="shared" si="2"/>
        <v>0.671832426661779</v>
      </c>
      <c r="Y47">
        <f t="shared" si="3"/>
        <v>1.7708828324688592</v>
      </c>
      <c r="AA47" s="3">
        <f t="shared" si="4"/>
        <v>725.86298160386229</v>
      </c>
      <c r="AB47" s="6">
        <f t="shared" si="5"/>
        <v>712.23883913794657</v>
      </c>
      <c r="AC47" s="3">
        <f t="shared" si="6"/>
        <v>707.37307397154814</v>
      </c>
      <c r="AD47">
        <f t="shared" si="7"/>
        <v>451.13629721041661</v>
      </c>
      <c r="AE47">
        <f t="shared" si="8"/>
        <v>1.2609341877634561</v>
      </c>
      <c r="AF47">
        <f t="shared" si="9"/>
        <v>4.3139009816413589E-2</v>
      </c>
      <c r="AG47">
        <f t="shared" si="10"/>
        <v>4.4701468149746924E-2</v>
      </c>
      <c r="AH47">
        <f t="shared" si="11"/>
        <v>3.6219151528574189E-2</v>
      </c>
      <c r="AI47" s="7">
        <f t="shared" si="12"/>
        <v>456.1756503130876</v>
      </c>
    </row>
    <row r="48" spans="1:35" x14ac:dyDescent="0.25">
      <c r="A48">
        <v>67.777000000000001</v>
      </c>
      <c r="B48">
        <v>7.1820000000000004</v>
      </c>
      <c r="C48">
        <v>79.016000000000005</v>
      </c>
      <c r="D48">
        <v>522.77800000000002</v>
      </c>
      <c r="E48">
        <v>350.86399999999998</v>
      </c>
      <c r="F48">
        <v>2.5720000000000001</v>
      </c>
      <c r="G48">
        <v>81.650000000000006</v>
      </c>
      <c r="H48">
        <v>80.200999999999993</v>
      </c>
      <c r="I48">
        <v>5.4690000000000003</v>
      </c>
      <c r="J48">
        <v>7.7220000000000004</v>
      </c>
      <c r="K48">
        <v>54466.499000000003</v>
      </c>
      <c r="L48">
        <v>20.605</v>
      </c>
      <c r="M48">
        <f t="shared" si="0"/>
        <v>2.1450000000000002E-6</v>
      </c>
      <c r="N48">
        <v>281.73365999999999</v>
      </c>
      <c r="O48">
        <v>353.92682999999994</v>
      </c>
      <c r="P48">
        <v>913.72534399999995</v>
      </c>
      <c r="Q48">
        <v>716.36807199999987</v>
      </c>
      <c r="R48">
        <f t="shared" si="1"/>
        <v>1.7455124820876387</v>
      </c>
      <c r="S48">
        <v>1.6858097257018052</v>
      </c>
      <c r="T48">
        <v>72.193169999999952</v>
      </c>
      <c r="U48">
        <v>197.35727200000008</v>
      </c>
      <c r="V48">
        <v>559.79851400000007</v>
      </c>
      <c r="W48">
        <v>0.22358777108150757</v>
      </c>
      <c r="X48">
        <f t="shared" si="2"/>
        <v>0.67326503019835826</v>
      </c>
      <c r="Y48">
        <f t="shared" si="3"/>
        <v>1.7659162447772276</v>
      </c>
      <c r="AA48" s="3">
        <f t="shared" si="4"/>
        <v>725.83516271732651</v>
      </c>
      <c r="AB48" s="6">
        <f t="shared" si="5"/>
        <v>712.20599991236224</v>
      </c>
      <c r="AC48" s="3">
        <f t="shared" si="6"/>
        <v>707.33844176773209</v>
      </c>
      <c r="AD48">
        <f t="shared" si="7"/>
        <v>449.98759071643735</v>
      </c>
      <c r="AE48">
        <f t="shared" si="8"/>
        <v>1.2609341877634561</v>
      </c>
      <c r="AF48">
        <f t="shared" si="9"/>
        <v>4.3139009816413589E-2</v>
      </c>
      <c r="AG48">
        <f t="shared" si="10"/>
        <v>4.4790659816413586E-2</v>
      </c>
      <c r="AH48">
        <f t="shared" si="11"/>
        <v>3.8286692416652973E-2</v>
      </c>
      <c r="AI48" s="7">
        <f t="shared" si="12"/>
        <v>453.99935437535436</v>
      </c>
    </row>
    <row r="49" spans="1:35" x14ac:dyDescent="0.25">
      <c r="A49">
        <v>68.777000000000001</v>
      </c>
      <c r="B49">
        <v>7.1559999999999997</v>
      </c>
      <c r="C49">
        <v>78.991</v>
      </c>
      <c r="D49">
        <v>521.00400000000002</v>
      </c>
      <c r="E49">
        <v>350.94099999999997</v>
      </c>
      <c r="F49">
        <v>2.5790000000000002</v>
      </c>
      <c r="G49">
        <v>81.444000000000003</v>
      </c>
      <c r="H49">
        <v>80.113</v>
      </c>
      <c r="I49">
        <v>5.4589999999999996</v>
      </c>
      <c r="J49">
        <v>7.9569999999999999</v>
      </c>
      <c r="K49">
        <v>54468.57</v>
      </c>
      <c r="L49">
        <v>21.251999999999999</v>
      </c>
      <c r="M49">
        <f t="shared" si="0"/>
        <v>2.2102777777777778E-6</v>
      </c>
      <c r="N49">
        <v>281.70752999999996</v>
      </c>
      <c r="O49">
        <v>353.90170499999994</v>
      </c>
      <c r="P49">
        <v>911.68879199999992</v>
      </c>
      <c r="Q49">
        <v>716.45646799999986</v>
      </c>
      <c r="R49">
        <f t="shared" si="1"/>
        <v>1.7434553493151332</v>
      </c>
      <c r="S49">
        <v>1.6851568020998724</v>
      </c>
      <c r="T49">
        <v>72.194174999999973</v>
      </c>
      <c r="U49">
        <v>195.23232400000006</v>
      </c>
      <c r="V49">
        <v>557.78708699999993</v>
      </c>
      <c r="W49">
        <v>0.22058264141923406</v>
      </c>
      <c r="X49">
        <f t="shared" si="2"/>
        <v>0.67165197145586231</v>
      </c>
      <c r="Y49">
        <f t="shared" si="3"/>
        <v>1.752021582423233</v>
      </c>
      <c r="AA49" s="3">
        <f t="shared" si="4"/>
        <v>724.26595682267509</v>
      </c>
      <c r="AB49" s="6">
        <f t="shared" si="5"/>
        <v>710.6766150937508</v>
      </c>
      <c r="AC49" s="3">
        <f t="shared" si="6"/>
        <v>705.82327876199213</v>
      </c>
      <c r="AD49">
        <f t="shared" si="7"/>
        <v>445.8705779206025</v>
      </c>
      <c r="AE49">
        <f t="shared" si="8"/>
        <v>1.2609341877634561</v>
      </c>
      <c r="AF49">
        <f t="shared" si="9"/>
        <v>4.3139009816413589E-2</v>
      </c>
      <c r="AG49">
        <f t="shared" si="10"/>
        <v>4.4840923705302474E-2</v>
      </c>
      <c r="AH49">
        <f t="shared" si="11"/>
        <v>3.9451853348783691E-2</v>
      </c>
      <c r="AI49" s="7">
        <f t="shared" si="12"/>
        <v>450.19979251597772</v>
      </c>
    </row>
    <row r="50" spans="1:35" x14ac:dyDescent="0.25">
      <c r="A50">
        <v>69.777000000000001</v>
      </c>
      <c r="B50">
        <v>7.1040000000000001</v>
      </c>
      <c r="C50">
        <v>78.977000000000004</v>
      </c>
      <c r="D50">
        <v>518.44799999999998</v>
      </c>
      <c r="E50">
        <v>350.75400000000002</v>
      </c>
      <c r="F50">
        <v>2.5569999999999999</v>
      </c>
      <c r="G50">
        <v>81.290000000000006</v>
      </c>
      <c r="H50">
        <v>79.971000000000004</v>
      </c>
      <c r="I50">
        <v>5.3739999999999997</v>
      </c>
      <c r="J50">
        <v>8.2520000000000007</v>
      </c>
      <c r="K50">
        <v>54460.482000000004</v>
      </c>
      <c r="L50">
        <v>20.527999999999999</v>
      </c>
      <c r="M50">
        <f t="shared" si="0"/>
        <v>2.2922222222222223E-6</v>
      </c>
      <c r="N50">
        <v>281.65526999999992</v>
      </c>
      <c r="O50">
        <v>353.88763499999993</v>
      </c>
      <c r="P50">
        <v>908.75450399999988</v>
      </c>
      <c r="Q50">
        <v>716.24179199999992</v>
      </c>
      <c r="R50">
        <f t="shared" si="1"/>
        <v>1.742364954694174</v>
      </c>
      <c r="S50">
        <v>1.6851681760567263</v>
      </c>
      <c r="T50">
        <v>72.232365000000016</v>
      </c>
      <c r="U50">
        <v>192.51271199999996</v>
      </c>
      <c r="V50">
        <v>554.86686899999995</v>
      </c>
      <c r="W50">
        <v>0.21677334459844991</v>
      </c>
      <c r="X50">
        <f t="shared" si="2"/>
        <v>0.67035544094656074</v>
      </c>
      <c r="Y50">
        <f t="shared" si="3"/>
        <v>1.7331730227240225</v>
      </c>
      <c r="AA50" s="3">
        <f t="shared" si="4"/>
        <v>721.93404930554834</v>
      </c>
      <c r="AB50" s="6">
        <f t="shared" si="5"/>
        <v>708.38828111496048</v>
      </c>
      <c r="AC50" s="3">
        <f t="shared" si="6"/>
        <v>703.55050676117912</v>
      </c>
      <c r="AD50">
        <f t="shared" si="7"/>
        <v>440.42696266231167</v>
      </c>
      <c r="AE50">
        <f t="shared" si="8"/>
        <v>1.2609341877634561</v>
      </c>
      <c r="AF50">
        <f t="shared" si="9"/>
        <v>4.3139009816413589E-2</v>
      </c>
      <c r="AG50">
        <f t="shared" si="10"/>
        <v>4.4904020927524699E-2</v>
      </c>
      <c r="AH50">
        <f t="shared" si="11"/>
        <v>4.0914502178479702E-2</v>
      </c>
      <c r="AI50" s="7">
        <f t="shared" si="12"/>
        <v>443.64340644362562</v>
      </c>
    </row>
    <row r="51" spans="1:35" x14ac:dyDescent="0.25">
      <c r="A51">
        <v>70.778000000000006</v>
      </c>
      <c r="B51">
        <v>7.0140000000000002</v>
      </c>
      <c r="C51">
        <v>78.978999999999999</v>
      </c>
      <c r="D51">
        <v>511.66199999999998</v>
      </c>
      <c r="E51">
        <v>350.82799999999997</v>
      </c>
      <c r="F51">
        <v>2.548</v>
      </c>
      <c r="G51">
        <v>80.846999999999994</v>
      </c>
      <c r="H51">
        <v>79.497</v>
      </c>
      <c r="I51">
        <v>5.2359999999999998</v>
      </c>
      <c r="J51">
        <v>8.8190000000000008</v>
      </c>
      <c r="K51">
        <v>54432.951999999997</v>
      </c>
      <c r="L51">
        <v>20.303000000000001</v>
      </c>
      <c r="M51">
        <f t="shared" si="0"/>
        <v>2.4497222222222224E-6</v>
      </c>
      <c r="N51">
        <v>281.56481999999994</v>
      </c>
      <c r="O51">
        <v>353.88964499999992</v>
      </c>
      <c r="P51">
        <v>900.96417599999984</v>
      </c>
      <c r="Q51">
        <v>716.32674399999985</v>
      </c>
      <c r="R51">
        <f t="shared" si="1"/>
        <v>1.7383354707302352</v>
      </c>
      <c r="S51">
        <v>1.6829476898175397</v>
      </c>
      <c r="T51">
        <v>72.324824999999976</v>
      </c>
      <c r="U51">
        <v>184.63743199999999</v>
      </c>
      <c r="V51">
        <v>547.07453099999998</v>
      </c>
      <c r="W51">
        <v>0.20529672034759744</v>
      </c>
      <c r="X51">
        <f t="shared" si="2"/>
        <v>0.66626636179471876</v>
      </c>
      <c r="Y51">
        <f t="shared" si="3"/>
        <v>1.6806218540976927</v>
      </c>
      <c r="AA51" s="3">
        <f t="shared" si="4"/>
        <v>715.90864751909817</v>
      </c>
      <c r="AB51" s="6">
        <f t="shared" si="5"/>
        <v>702.51077342558949</v>
      </c>
      <c r="AC51" s="3">
        <f t="shared" si="6"/>
        <v>697.72581839219345</v>
      </c>
      <c r="AD51">
        <f t="shared" si="7"/>
        <v>424.63071931403363</v>
      </c>
      <c r="AE51">
        <f t="shared" si="8"/>
        <v>1.2609341877634561</v>
      </c>
      <c r="AF51">
        <f t="shared" si="9"/>
        <v>4.3139009816413589E-2</v>
      </c>
      <c r="AG51">
        <f t="shared" si="10"/>
        <v>4.5025295927524703E-2</v>
      </c>
      <c r="AH51">
        <f t="shared" si="11"/>
        <v>4.3725762810471705E-2</v>
      </c>
      <c r="AI51" s="7">
        <f t="shared" si="12"/>
        <v>427.14427425447246</v>
      </c>
    </row>
    <row r="52" spans="1:35" x14ac:dyDescent="0.25">
      <c r="A52">
        <v>71.778000000000006</v>
      </c>
      <c r="B52">
        <v>7.1340000000000003</v>
      </c>
      <c r="C52">
        <v>78.905000000000001</v>
      </c>
      <c r="D52">
        <v>510.625</v>
      </c>
      <c r="E52">
        <v>351.04399999999998</v>
      </c>
      <c r="F52">
        <v>2.5680000000000001</v>
      </c>
      <c r="G52">
        <v>81.453999999999994</v>
      </c>
      <c r="H52">
        <v>80.040999999999997</v>
      </c>
      <c r="I52">
        <v>5.37</v>
      </c>
      <c r="J52">
        <v>8.1</v>
      </c>
      <c r="K52">
        <v>54389.012999999999</v>
      </c>
      <c r="L52">
        <v>20.286999999999999</v>
      </c>
      <c r="M52">
        <f t="shared" si="0"/>
        <v>2.2500000000000001E-6</v>
      </c>
      <c r="N52">
        <v>281.68541999999997</v>
      </c>
      <c r="O52">
        <v>353.81527499999993</v>
      </c>
      <c r="P52">
        <v>899.77369999999985</v>
      </c>
      <c r="Q52">
        <v>716.57471199999986</v>
      </c>
      <c r="R52">
        <f t="shared" si="1"/>
        <v>1.743730437078101</v>
      </c>
      <c r="S52">
        <v>1.6858730596123817</v>
      </c>
      <c r="T52">
        <v>72.129854999999964</v>
      </c>
      <c r="U52">
        <v>183.19898799999999</v>
      </c>
      <c r="V52">
        <v>545.95842499999992</v>
      </c>
      <c r="W52">
        <v>0.20343881129776509</v>
      </c>
      <c r="X52">
        <f t="shared" si="2"/>
        <v>0.67240448226376703</v>
      </c>
      <c r="Y52">
        <f t="shared" si="3"/>
        <v>1.6645359078952751</v>
      </c>
      <c r="AA52" s="3">
        <f t="shared" si="4"/>
        <v>714.74775976143803</v>
      </c>
      <c r="AB52" s="6">
        <f t="shared" si="5"/>
        <v>701.32579638171762</v>
      </c>
      <c r="AC52" s="3">
        <f t="shared" si="6"/>
        <v>696.53223803181754</v>
      </c>
      <c r="AD52">
        <f t="shared" si="7"/>
        <v>420.82609768457058</v>
      </c>
      <c r="AE52">
        <f t="shared" si="8"/>
        <v>1.2609341877634561</v>
      </c>
      <c r="AF52">
        <f t="shared" si="9"/>
        <v>4.3139009816413589E-2</v>
      </c>
      <c r="AG52">
        <f t="shared" si="10"/>
        <v>4.4871509816413586E-2</v>
      </c>
      <c r="AH52">
        <f t="shared" si="11"/>
        <v>4.0160866171314299E-2</v>
      </c>
      <c r="AI52" s="7">
        <f t="shared" si="12"/>
        <v>424.86489883364118</v>
      </c>
    </row>
    <row r="53" spans="1:35" x14ac:dyDescent="0.25">
      <c r="A53">
        <v>72.778000000000006</v>
      </c>
      <c r="B53">
        <v>7.2569999999999997</v>
      </c>
      <c r="C53">
        <v>78.753</v>
      </c>
      <c r="D53">
        <v>512.25599999999997</v>
      </c>
      <c r="E53">
        <v>350.97699999999998</v>
      </c>
      <c r="F53">
        <v>2.5790000000000002</v>
      </c>
      <c r="G53">
        <v>80.807000000000002</v>
      </c>
      <c r="H53">
        <v>79.507000000000005</v>
      </c>
      <c r="I53">
        <v>5.6470000000000002</v>
      </c>
      <c r="J53">
        <v>7.8730000000000002</v>
      </c>
      <c r="K53">
        <v>54381.167999999998</v>
      </c>
      <c r="L53">
        <v>19.518999999999998</v>
      </c>
      <c r="M53">
        <f t="shared" si="0"/>
        <v>2.1869444444444446E-6</v>
      </c>
      <c r="N53">
        <v>281.80903499999994</v>
      </c>
      <c r="O53">
        <v>353.66251499999993</v>
      </c>
      <c r="P53">
        <v>901.64608799999985</v>
      </c>
      <c r="Q53">
        <v>716.49779599999988</v>
      </c>
      <c r="R53">
        <f t="shared" si="1"/>
        <v>1.7374503907465193</v>
      </c>
      <c r="S53">
        <v>1.6767020623562718</v>
      </c>
      <c r="T53">
        <v>71.85347999999999</v>
      </c>
      <c r="U53">
        <v>185.14829199999997</v>
      </c>
      <c r="V53">
        <v>547.98357299999998</v>
      </c>
      <c r="W53">
        <v>0.20674855521627103</v>
      </c>
      <c r="X53">
        <f t="shared" si="2"/>
        <v>0.67055030939377391</v>
      </c>
      <c r="Y53">
        <f t="shared" si="3"/>
        <v>1.6953413272187368</v>
      </c>
      <c r="AA53" s="3">
        <f t="shared" si="4"/>
        <v>716.91189905662225</v>
      </c>
      <c r="AB53" s="6">
        <f t="shared" si="5"/>
        <v>703.59360165096552</v>
      </c>
      <c r="AC53" s="3">
        <f t="shared" si="6"/>
        <v>698.83706686323092</v>
      </c>
      <c r="AD53">
        <f t="shared" si="7"/>
        <v>427.1478870258133</v>
      </c>
      <c r="AE53">
        <f t="shared" si="8"/>
        <v>1.2609341877634561</v>
      </c>
      <c r="AF53">
        <f t="shared" si="9"/>
        <v>4.3139009816413589E-2</v>
      </c>
      <c r="AG53">
        <f t="shared" si="10"/>
        <v>4.4822957038635813E-2</v>
      </c>
      <c r="AH53">
        <f t="shared" si="11"/>
        <v>3.9035370292192284E-2</v>
      </c>
      <c r="AI53" s="7">
        <f t="shared" si="12"/>
        <v>430.61942953176168</v>
      </c>
    </row>
    <row r="54" spans="1:35" x14ac:dyDescent="0.25">
      <c r="A54">
        <v>73.778000000000006</v>
      </c>
      <c r="B54">
        <v>7.2430000000000003</v>
      </c>
      <c r="C54">
        <v>78.701999999999998</v>
      </c>
      <c r="D54">
        <v>515.86099999999999</v>
      </c>
      <c r="E54">
        <v>350.90899999999999</v>
      </c>
      <c r="F54">
        <v>2.5459999999999998</v>
      </c>
      <c r="G54">
        <v>80.676000000000002</v>
      </c>
      <c r="H54">
        <v>79.334999999999994</v>
      </c>
      <c r="I54">
        <v>5.2690000000000001</v>
      </c>
      <c r="J54">
        <v>8.2520000000000007</v>
      </c>
      <c r="K54">
        <v>54362.697</v>
      </c>
      <c r="L54">
        <v>20.225999999999999</v>
      </c>
      <c r="M54">
        <f t="shared" si="0"/>
        <v>2.2922222222222223E-6</v>
      </c>
      <c r="N54">
        <v>281.79496499999993</v>
      </c>
      <c r="O54">
        <v>353.61125999999996</v>
      </c>
      <c r="P54">
        <v>905.78462799999988</v>
      </c>
      <c r="Q54">
        <v>716.41973199999995</v>
      </c>
      <c r="R54">
        <f t="shared" si="1"/>
        <v>1.7367557475057991</v>
      </c>
      <c r="S54">
        <v>1.6809476964944052</v>
      </c>
      <c r="T54">
        <v>71.816295000000025</v>
      </c>
      <c r="U54">
        <v>189.36489599999993</v>
      </c>
      <c r="V54">
        <v>552.17336799999998</v>
      </c>
      <c r="W54">
        <v>0.21288350328406261</v>
      </c>
      <c r="X54">
        <f t="shared" si="2"/>
        <v>0.67033908202803605</v>
      </c>
      <c r="Y54">
        <f t="shared" si="3"/>
        <v>1.7181552334833428</v>
      </c>
      <c r="AA54" s="3">
        <f t="shared" si="4"/>
        <v>719.88718761942823</v>
      </c>
      <c r="AB54" s="6">
        <f t="shared" si="5"/>
        <v>706.44644632320592</v>
      </c>
      <c r="AC54" s="3">
        <f t="shared" si="6"/>
        <v>701.64618157455516</v>
      </c>
      <c r="AD54">
        <f t="shared" si="7"/>
        <v>434.92709361234427</v>
      </c>
      <c r="AE54">
        <f t="shared" si="8"/>
        <v>1.2609341877634561</v>
      </c>
      <c r="AF54">
        <f t="shared" si="9"/>
        <v>4.3139009816413589E-2</v>
      </c>
      <c r="AG54">
        <f t="shared" si="10"/>
        <v>4.4904020927524699E-2</v>
      </c>
      <c r="AH54">
        <f t="shared" si="11"/>
        <v>4.0914502178479702E-2</v>
      </c>
      <c r="AI54" s="7">
        <f t="shared" si="12"/>
        <v>438.05771692017584</v>
      </c>
    </row>
    <row r="55" spans="1:35" x14ac:dyDescent="0.25">
      <c r="A55">
        <v>74.778000000000006</v>
      </c>
      <c r="B55">
        <v>7.4930000000000003</v>
      </c>
      <c r="C55">
        <v>78.688999999999993</v>
      </c>
      <c r="D55">
        <v>518.67700000000002</v>
      </c>
      <c r="E55">
        <v>350.77</v>
      </c>
      <c r="F55">
        <v>2.5630000000000002</v>
      </c>
      <c r="G55">
        <v>81.638000000000005</v>
      </c>
      <c r="H55">
        <v>80.108999999999995</v>
      </c>
      <c r="I55">
        <v>5.2009999999999996</v>
      </c>
      <c r="J55">
        <v>7.95</v>
      </c>
      <c r="K55">
        <v>54364.928999999996</v>
      </c>
      <c r="L55">
        <v>20.462</v>
      </c>
      <c r="M55">
        <f t="shared" si="0"/>
        <v>2.2083333333333335E-6</v>
      </c>
      <c r="N55">
        <v>282.04621499999996</v>
      </c>
      <c r="O55">
        <v>353.59819499999992</v>
      </c>
      <c r="P55">
        <v>909.01739599999996</v>
      </c>
      <c r="Q55">
        <v>716.26015999999993</v>
      </c>
      <c r="R55">
        <f t="shared" si="1"/>
        <v>1.7455474576430989</v>
      </c>
      <c r="S55">
        <v>1.6891196953109906</v>
      </c>
      <c r="T55">
        <v>71.551979999999958</v>
      </c>
      <c r="U55">
        <v>192.75723600000003</v>
      </c>
      <c r="V55">
        <v>555.41920100000004</v>
      </c>
      <c r="W55">
        <v>0.21822302106548899</v>
      </c>
      <c r="X55">
        <f t="shared" si="2"/>
        <v>0.68007835044209353</v>
      </c>
      <c r="Y55">
        <f t="shared" si="3"/>
        <v>1.7276155705203593</v>
      </c>
      <c r="AA55" s="3">
        <f t="shared" si="4"/>
        <v>721.85018220390498</v>
      </c>
      <c r="AB55" s="6">
        <f t="shared" si="5"/>
        <v>708.24357874355314</v>
      </c>
      <c r="AC55" s="3">
        <f t="shared" si="6"/>
        <v>703.38407750771319</v>
      </c>
      <c r="AD55">
        <f t="shared" si="7"/>
        <v>440.00788265120673</v>
      </c>
      <c r="AE55">
        <f t="shared" si="8"/>
        <v>1.2609341877634561</v>
      </c>
      <c r="AF55">
        <f t="shared" si="9"/>
        <v>4.3139009816413589E-2</v>
      </c>
      <c r="AG55">
        <f t="shared" si="10"/>
        <v>4.4839426483080258E-2</v>
      </c>
      <c r="AH55">
        <f t="shared" si="11"/>
        <v>3.9417146427401073E-2</v>
      </c>
      <c r="AI55" s="7">
        <f t="shared" si="12"/>
        <v>443.78374735000813</v>
      </c>
    </row>
    <row r="56" spans="1:35" x14ac:dyDescent="0.25">
      <c r="A56">
        <v>75.778000000000006</v>
      </c>
      <c r="B56">
        <v>7.62</v>
      </c>
      <c r="C56">
        <v>78.603999999999999</v>
      </c>
      <c r="D56">
        <v>518.35299999999995</v>
      </c>
      <c r="E56">
        <v>351.40600000000001</v>
      </c>
      <c r="F56">
        <v>2.5739999999999998</v>
      </c>
      <c r="G56">
        <v>81.176000000000002</v>
      </c>
      <c r="H56">
        <v>79.882999999999996</v>
      </c>
      <c r="I56">
        <v>5.407</v>
      </c>
      <c r="J56">
        <v>8</v>
      </c>
      <c r="K56">
        <v>54374.391000000003</v>
      </c>
      <c r="L56">
        <v>20.402000000000001</v>
      </c>
      <c r="M56">
        <f t="shared" si="0"/>
        <v>2.2222222222222221E-6</v>
      </c>
      <c r="N56">
        <v>282.17384999999996</v>
      </c>
      <c r="O56">
        <v>353.51276999999993</v>
      </c>
      <c r="P56">
        <v>908.64544399999988</v>
      </c>
      <c r="Q56">
        <v>716.99028799999996</v>
      </c>
      <c r="R56">
        <f t="shared" si="1"/>
        <v>1.7410109923261119</v>
      </c>
      <c r="S56">
        <v>1.683849522987503</v>
      </c>
      <c r="T56">
        <v>71.338919999999973</v>
      </c>
      <c r="U56">
        <v>191.65515599999992</v>
      </c>
      <c r="V56">
        <v>555.13267399999995</v>
      </c>
      <c r="W56">
        <v>0.21673420001215774</v>
      </c>
      <c r="X56">
        <f t="shared" si="2"/>
        <v>0.67897119128889782</v>
      </c>
      <c r="Y56">
        <f t="shared" si="3"/>
        <v>1.728086741279157</v>
      </c>
      <c r="AA56" s="3">
        <f t="shared" si="4"/>
        <v>721.94524162554205</v>
      </c>
      <c r="AB56" s="6">
        <f t="shared" si="5"/>
        <v>708.42012194161964</v>
      </c>
      <c r="AC56" s="3">
        <f t="shared" si="6"/>
        <v>703.58972205450448</v>
      </c>
      <c r="AD56">
        <f t="shared" si="7"/>
        <v>438.80750218969433</v>
      </c>
      <c r="AE56">
        <f t="shared" si="8"/>
        <v>1.2609341877634561</v>
      </c>
      <c r="AF56">
        <f t="shared" si="9"/>
        <v>4.3139009816413589E-2</v>
      </c>
      <c r="AG56">
        <f t="shared" si="10"/>
        <v>4.4850120927524696E-2</v>
      </c>
      <c r="AH56">
        <f t="shared" si="11"/>
        <v>3.966505300870548E-2</v>
      </c>
      <c r="AI56" s="7">
        <f t="shared" si="12"/>
        <v>442.46822307811675</v>
      </c>
    </row>
    <row r="57" spans="1:35" x14ac:dyDescent="0.25">
      <c r="A57">
        <v>76.778000000000006</v>
      </c>
      <c r="B57">
        <v>7.6280000000000001</v>
      </c>
      <c r="C57">
        <v>78.751000000000005</v>
      </c>
      <c r="D57">
        <v>519.38199999999995</v>
      </c>
      <c r="E57">
        <v>351.27699999999999</v>
      </c>
      <c r="F57">
        <v>2.5510000000000002</v>
      </c>
      <c r="G57">
        <v>81.158000000000001</v>
      </c>
      <c r="H57">
        <v>79.738</v>
      </c>
      <c r="I57">
        <v>5.4290000000000003</v>
      </c>
      <c r="J57">
        <v>8.2140000000000004</v>
      </c>
      <c r="K57">
        <v>54390.678999999996</v>
      </c>
      <c r="L57">
        <v>20.571999999999999</v>
      </c>
      <c r="M57">
        <f t="shared" si="0"/>
        <v>2.2816666666666667E-6</v>
      </c>
      <c r="N57">
        <v>282.18188999999995</v>
      </c>
      <c r="O57">
        <v>353.66050499999994</v>
      </c>
      <c r="P57">
        <v>909.82673599999987</v>
      </c>
      <c r="Q57">
        <v>716.84219599999983</v>
      </c>
      <c r="R57">
        <f t="shared" si="1"/>
        <v>1.7412188475356198</v>
      </c>
      <c r="S57">
        <v>1.6821782996263621</v>
      </c>
      <c r="T57">
        <v>71.478614999999991</v>
      </c>
      <c r="U57">
        <v>192.98454000000004</v>
      </c>
      <c r="V57">
        <v>556.16623099999993</v>
      </c>
      <c r="W57">
        <v>0.21847051875395157</v>
      </c>
      <c r="X57">
        <f t="shared" si="2"/>
        <v>0.67782131547913338</v>
      </c>
      <c r="Y57">
        <f t="shared" si="3"/>
        <v>1.7409207711344696</v>
      </c>
      <c r="AA57" s="3">
        <f t="shared" si="4"/>
        <v>723.00810091921221</v>
      </c>
      <c r="AB57" s="6">
        <f t="shared" si="5"/>
        <v>709.48956498683685</v>
      </c>
      <c r="AC57" s="3">
        <f t="shared" si="6"/>
        <v>704.66151643955993</v>
      </c>
      <c r="AD57">
        <f t="shared" si="7"/>
        <v>441.93172460209013</v>
      </c>
      <c r="AE57">
        <f t="shared" si="8"/>
        <v>1.2609341877634561</v>
      </c>
      <c r="AF57">
        <f t="shared" si="9"/>
        <v>4.3139009816413589E-2</v>
      </c>
      <c r="AG57">
        <f t="shared" si="10"/>
        <v>4.4895893149746922E-2</v>
      </c>
      <c r="AH57">
        <f t="shared" si="11"/>
        <v>4.0726093176688349E-2</v>
      </c>
      <c r="AI57" s="7">
        <f t="shared" si="12"/>
        <v>445.20988262783715</v>
      </c>
    </row>
    <row r="58" spans="1:35" x14ac:dyDescent="0.25">
      <c r="A58">
        <v>77.778000000000006</v>
      </c>
      <c r="B58">
        <v>7.5659999999999998</v>
      </c>
      <c r="C58">
        <v>78.747</v>
      </c>
      <c r="D58">
        <v>518.84199999999998</v>
      </c>
      <c r="E58">
        <v>350.72399999999999</v>
      </c>
      <c r="F58">
        <v>2.5910000000000002</v>
      </c>
      <c r="G58">
        <v>81.444000000000003</v>
      </c>
      <c r="H58">
        <v>79.933000000000007</v>
      </c>
      <c r="I58">
        <v>5.383</v>
      </c>
      <c r="J58">
        <v>7.798</v>
      </c>
      <c r="K58">
        <v>54387.370999999999</v>
      </c>
      <c r="L58">
        <v>20.736000000000001</v>
      </c>
      <c r="M58">
        <f t="shared" si="0"/>
        <v>2.1661111111111113E-6</v>
      </c>
      <c r="N58">
        <v>282.11957999999993</v>
      </c>
      <c r="O58">
        <v>353.65648499999998</v>
      </c>
      <c r="P58">
        <v>909.20681599999989</v>
      </c>
      <c r="Q58">
        <v>716.20735200000001</v>
      </c>
      <c r="R58">
        <f t="shared" si="1"/>
        <v>1.7432581463083581</v>
      </c>
      <c r="S58">
        <v>1.6846798857489231</v>
      </c>
      <c r="T58">
        <v>71.536905000000047</v>
      </c>
      <c r="U58">
        <v>192.99946399999988</v>
      </c>
      <c r="V58">
        <v>555.55033099999991</v>
      </c>
      <c r="W58">
        <v>0.21863466228409079</v>
      </c>
      <c r="X58">
        <f t="shared" si="2"/>
        <v>0.67866505590124193</v>
      </c>
      <c r="Y58">
        <f t="shared" si="3"/>
        <v>1.7375942183844002</v>
      </c>
      <c r="AA58" s="3">
        <f t="shared" si="4"/>
        <v>722.32961351223503</v>
      </c>
      <c r="AB58" s="6">
        <f t="shared" si="5"/>
        <v>708.78414947294732</v>
      </c>
      <c r="AC58" s="3">
        <f t="shared" si="6"/>
        <v>703.94648374463031</v>
      </c>
      <c r="AD58">
        <f t="shared" si="7"/>
        <v>441.53561938974639</v>
      </c>
      <c r="AE58">
        <f t="shared" si="8"/>
        <v>1.2609341877634561</v>
      </c>
      <c r="AF58">
        <f t="shared" si="9"/>
        <v>4.3139009816413589E-2</v>
      </c>
      <c r="AG58">
        <f t="shared" si="10"/>
        <v>4.4806915371969146E-2</v>
      </c>
      <c r="AH58">
        <f t="shared" si="11"/>
        <v>3.8663510420235671E-2</v>
      </c>
      <c r="AI58" s="7">
        <f t="shared" si="12"/>
        <v>445.83577000261062</v>
      </c>
    </row>
    <row r="59" spans="1:35" x14ac:dyDescent="0.25">
      <c r="A59">
        <v>78.778000000000006</v>
      </c>
      <c r="B59">
        <v>7.4690000000000003</v>
      </c>
      <c r="C59">
        <v>78.738</v>
      </c>
      <c r="D59">
        <v>519.31600000000003</v>
      </c>
      <c r="E59">
        <v>351.27300000000002</v>
      </c>
      <c r="F59">
        <v>2.6030000000000002</v>
      </c>
      <c r="G59">
        <v>81.465999999999994</v>
      </c>
      <c r="H59">
        <v>80.049000000000007</v>
      </c>
      <c r="I59">
        <v>5.5</v>
      </c>
      <c r="J59">
        <v>7.95</v>
      </c>
      <c r="K59">
        <v>54387.896999999997</v>
      </c>
      <c r="L59">
        <v>20.802</v>
      </c>
      <c r="M59">
        <f t="shared" si="0"/>
        <v>2.2083333333333335E-6</v>
      </c>
      <c r="N59">
        <v>282.02209499999992</v>
      </c>
      <c r="O59">
        <v>353.64743999999996</v>
      </c>
      <c r="P59">
        <v>909.75096799999994</v>
      </c>
      <c r="Q59">
        <v>716.83760399999994</v>
      </c>
      <c r="R59">
        <f t="shared" si="1"/>
        <v>1.7432683336003696</v>
      </c>
      <c r="S59">
        <v>1.6839357798165138</v>
      </c>
      <c r="T59">
        <v>71.625345000000038</v>
      </c>
      <c r="U59">
        <v>192.913364</v>
      </c>
      <c r="V59">
        <v>556.10352799999998</v>
      </c>
      <c r="W59">
        <v>0.21810330791499666</v>
      </c>
      <c r="X59">
        <f t="shared" si="2"/>
        <v>0.67760055433278288</v>
      </c>
      <c r="Y59">
        <f t="shared" si="3"/>
        <v>1.7371579154220216</v>
      </c>
      <c r="AA59" s="3">
        <f t="shared" si="4"/>
        <v>722.81720242905112</v>
      </c>
      <c r="AB59" s="6">
        <f t="shared" si="5"/>
        <v>709.27438067914431</v>
      </c>
      <c r="AC59" s="3">
        <f t="shared" si="6"/>
        <v>704.43765862560622</v>
      </c>
      <c r="AD59">
        <f t="shared" si="7"/>
        <v>441.38279309383518</v>
      </c>
      <c r="AE59">
        <f t="shared" si="8"/>
        <v>1.2609341877634561</v>
      </c>
      <c r="AF59">
        <f t="shared" si="9"/>
        <v>4.3139009816413589E-2</v>
      </c>
      <c r="AG59">
        <f t="shared" si="10"/>
        <v>4.4839426483080258E-2</v>
      </c>
      <c r="AH59">
        <f t="shared" si="11"/>
        <v>3.9417146427401073E-2</v>
      </c>
      <c r="AI59" s="7">
        <f t="shared" si="12"/>
        <v>445.44651795019905</v>
      </c>
    </row>
    <row r="60" spans="1:35" x14ac:dyDescent="0.25">
      <c r="A60">
        <v>79.778000000000006</v>
      </c>
      <c r="B60">
        <v>7.59</v>
      </c>
      <c r="C60">
        <v>78.787000000000006</v>
      </c>
      <c r="D60">
        <v>517.98599999999999</v>
      </c>
      <c r="E60">
        <v>350.65499999999997</v>
      </c>
      <c r="F60">
        <v>2.5750000000000002</v>
      </c>
      <c r="G60">
        <v>81.372</v>
      </c>
      <c r="H60">
        <v>79.992000000000004</v>
      </c>
      <c r="I60">
        <v>5.4640000000000004</v>
      </c>
      <c r="J60">
        <v>7.3810000000000002</v>
      </c>
      <c r="K60">
        <v>54401.46</v>
      </c>
      <c r="L60">
        <v>20.407</v>
      </c>
      <c r="M60">
        <f t="shared" si="0"/>
        <v>2.0502777777777781E-6</v>
      </c>
      <c r="N60">
        <v>282.14369999999991</v>
      </c>
      <c r="O60">
        <v>353.696685</v>
      </c>
      <c r="P60">
        <v>908.22412799999984</v>
      </c>
      <c r="Q60">
        <v>716.12813999999992</v>
      </c>
      <c r="R60">
        <f t="shared" si="1"/>
        <v>1.7428423285411268</v>
      </c>
      <c r="S60">
        <v>1.6839690172901143</v>
      </c>
      <c r="T60">
        <v>71.552985000000092</v>
      </c>
      <c r="U60">
        <v>192.09598799999992</v>
      </c>
      <c r="V60">
        <v>554.52744299999983</v>
      </c>
      <c r="W60">
        <v>0.21737968881731226</v>
      </c>
      <c r="X60">
        <f t="shared" si="2"/>
        <v>0.67825554829992496</v>
      </c>
      <c r="Y60">
        <f t="shared" si="3"/>
        <v>1.7326441235797594</v>
      </c>
      <c r="AA60" s="3">
        <f t="shared" si="4"/>
        <v>721.6016285959729</v>
      </c>
      <c r="AB60" s="6">
        <f t="shared" si="5"/>
        <v>708.08105637852316</v>
      </c>
      <c r="AC60" s="3">
        <f t="shared" si="6"/>
        <v>703.25228058657683</v>
      </c>
      <c r="AD60">
        <f t="shared" si="7"/>
        <v>439.88387722794442</v>
      </c>
      <c r="AE60">
        <f t="shared" si="8"/>
        <v>1.2609341877634561</v>
      </c>
      <c r="AF60">
        <f t="shared" si="9"/>
        <v>4.3139009816413589E-2</v>
      </c>
      <c r="AG60">
        <f t="shared" si="10"/>
        <v>4.4717723705302477E-2</v>
      </c>
      <c r="AH60">
        <f t="shared" si="11"/>
        <v>3.6595969532156901E-2</v>
      </c>
      <c r="AI60" s="7">
        <f t="shared" si="12"/>
        <v>444.76122301176378</v>
      </c>
    </row>
    <row r="61" spans="1:35" x14ac:dyDescent="0.25">
      <c r="A61">
        <v>80.778000000000006</v>
      </c>
      <c r="B61">
        <v>7.5860000000000003</v>
      </c>
      <c r="C61">
        <v>78.787000000000006</v>
      </c>
      <c r="D61">
        <v>518.35</v>
      </c>
      <c r="E61">
        <v>350.50099999999998</v>
      </c>
      <c r="F61">
        <v>2.5579999999999998</v>
      </c>
      <c r="G61">
        <v>80.933999999999997</v>
      </c>
      <c r="H61">
        <v>79.554000000000002</v>
      </c>
      <c r="I61">
        <v>5.3109999999999999</v>
      </c>
      <c r="J61">
        <v>8.516</v>
      </c>
      <c r="K61">
        <v>54396.017</v>
      </c>
      <c r="L61">
        <v>21.076000000000001</v>
      </c>
      <c r="M61">
        <f t="shared" si="0"/>
        <v>2.3655555555555554E-6</v>
      </c>
      <c r="N61">
        <v>282.13967999999994</v>
      </c>
      <c r="O61">
        <v>353.696685</v>
      </c>
      <c r="P61">
        <v>908.64199999999994</v>
      </c>
      <c r="Q61">
        <v>715.95134799999994</v>
      </c>
      <c r="R61">
        <f t="shared" si="1"/>
        <v>1.7389918723717213</v>
      </c>
      <c r="S61">
        <v>1.6823115310032992</v>
      </c>
      <c r="T61">
        <v>71.557005000000061</v>
      </c>
      <c r="U61">
        <v>192.690652</v>
      </c>
      <c r="V61">
        <v>554.94531499999994</v>
      </c>
      <c r="W61">
        <v>0.21828033091873197</v>
      </c>
      <c r="X61">
        <f t="shared" si="2"/>
        <v>0.67528852712244813</v>
      </c>
      <c r="Y61">
        <f t="shared" si="3"/>
        <v>1.7402878818748488</v>
      </c>
      <c r="AA61" s="3">
        <f t="shared" si="4"/>
        <v>722.05673072330751</v>
      </c>
      <c r="AB61" s="6">
        <f t="shared" si="5"/>
        <v>708.553872808395</v>
      </c>
      <c r="AC61" s="3">
        <f t="shared" si="6"/>
        <v>703.73142355306913</v>
      </c>
      <c r="AD61">
        <f t="shared" si="7"/>
        <v>441.51669953476846</v>
      </c>
      <c r="AE61">
        <f t="shared" si="8"/>
        <v>1.2609341877634561</v>
      </c>
      <c r="AF61">
        <f t="shared" si="9"/>
        <v>4.3139009816413589E-2</v>
      </c>
      <c r="AG61">
        <f t="shared" si="10"/>
        <v>4.4960487594191363E-2</v>
      </c>
      <c r="AH61">
        <f t="shared" si="11"/>
        <v>4.2223448927766985E-2</v>
      </c>
      <c r="AI61" s="7">
        <f t="shared" si="12"/>
        <v>444.70559688634734</v>
      </c>
    </row>
    <row r="62" spans="1:35" x14ac:dyDescent="0.25">
      <c r="A62">
        <v>81.778000000000006</v>
      </c>
      <c r="B62">
        <v>7.6219999999999999</v>
      </c>
      <c r="C62">
        <v>78.792000000000002</v>
      </c>
      <c r="D62">
        <v>520.25699999999995</v>
      </c>
      <c r="E62">
        <v>350.55799999999999</v>
      </c>
      <c r="F62">
        <v>2.5659999999999998</v>
      </c>
      <c r="G62">
        <v>81.531000000000006</v>
      </c>
      <c r="H62">
        <v>80.051000000000002</v>
      </c>
      <c r="I62">
        <v>5.3129999999999997</v>
      </c>
      <c r="J62">
        <v>8.5090000000000003</v>
      </c>
      <c r="K62">
        <v>54381.144</v>
      </c>
      <c r="L62">
        <v>20.177</v>
      </c>
      <c r="M62">
        <f t="shared" si="0"/>
        <v>2.3636111111111115E-6</v>
      </c>
      <c r="N62">
        <v>282.17585999999994</v>
      </c>
      <c r="O62">
        <v>353.70170999999999</v>
      </c>
      <c r="P62">
        <v>910.83123599999988</v>
      </c>
      <c r="Q62">
        <v>716.01678399999992</v>
      </c>
      <c r="R62">
        <f t="shared" si="1"/>
        <v>1.7444892802594612</v>
      </c>
      <c r="S62">
        <v>1.686848078814112</v>
      </c>
      <c r="T62">
        <v>71.525850000000048</v>
      </c>
      <c r="U62">
        <v>194.81445199999996</v>
      </c>
      <c r="V62">
        <v>557.12952599999994</v>
      </c>
      <c r="W62">
        <v>0.2212925293785272</v>
      </c>
      <c r="X62">
        <f t="shared" si="2"/>
        <v>0.67983814666637687</v>
      </c>
      <c r="Y62">
        <f t="shared" si="3"/>
        <v>1.7467744148099671</v>
      </c>
      <c r="AA62" s="3">
        <f t="shared" si="4"/>
        <v>723.45905539760986</v>
      </c>
      <c r="AB62" s="6">
        <f t="shared" si="5"/>
        <v>709.85806616936725</v>
      </c>
      <c r="AC62" s="3">
        <f t="shared" si="6"/>
        <v>705.00057001642358</v>
      </c>
      <c r="AD62">
        <f t="shared" si="7"/>
        <v>444.74773965121761</v>
      </c>
      <c r="AE62">
        <f t="shared" si="8"/>
        <v>1.2609341877634561</v>
      </c>
      <c r="AF62">
        <f t="shared" si="9"/>
        <v>4.3139009816413589E-2</v>
      </c>
      <c r="AG62">
        <f t="shared" si="10"/>
        <v>4.4958990371969147E-2</v>
      </c>
      <c r="AH62">
        <f t="shared" si="11"/>
        <v>4.2188742006384373E-2</v>
      </c>
      <c r="AI62" s="7">
        <f t="shared" si="12"/>
        <v>446.92094927257148</v>
      </c>
    </row>
    <row r="63" spans="1:35" x14ac:dyDescent="0.25">
      <c r="A63">
        <v>82.778999999999996</v>
      </c>
      <c r="B63">
        <v>7.7640000000000002</v>
      </c>
      <c r="C63">
        <v>78.754999999999995</v>
      </c>
      <c r="D63">
        <v>521.89499999999998</v>
      </c>
      <c r="E63">
        <v>350.791</v>
      </c>
      <c r="F63">
        <v>2.5859999999999999</v>
      </c>
      <c r="G63">
        <v>81.275999999999996</v>
      </c>
      <c r="H63">
        <v>79.846999999999994</v>
      </c>
      <c r="I63">
        <v>5.431</v>
      </c>
      <c r="J63">
        <v>7.9269999999999996</v>
      </c>
      <c r="K63">
        <v>54408.940999999999</v>
      </c>
      <c r="L63">
        <v>20.527999999999999</v>
      </c>
      <c r="M63">
        <f t="shared" si="0"/>
        <v>2.2019444444444444E-6</v>
      </c>
      <c r="N63">
        <v>282.31856999999997</v>
      </c>
      <c r="O63">
        <v>353.66452499999991</v>
      </c>
      <c r="P63">
        <v>912.71165999999982</v>
      </c>
      <c r="Q63">
        <v>716.284268</v>
      </c>
      <c r="R63">
        <f t="shared" si="1"/>
        <v>1.7417566879701376</v>
      </c>
      <c r="S63">
        <v>1.6831480478468019</v>
      </c>
      <c r="T63">
        <v>71.345954999999947</v>
      </c>
      <c r="U63">
        <v>196.42739199999983</v>
      </c>
      <c r="V63">
        <v>559.04713499999991</v>
      </c>
      <c r="W63">
        <v>0.22374041323009355</v>
      </c>
      <c r="X63">
        <f t="shared" si="2"/>
        <v>0.6798197134734717</v>
      </c>
      <c r="Y63">
        <f t="shared" si="3"/>
        <v>1.7645470370479301</v>
      </c>
      <c r="AA63" s="3">
        <f t="shared" si="4"/>
        <v>725.22828363402323</v>
      </c>
      <c r="AB63" s="6">
        <f t="shared" si="5"/>
        <v>711.65281100730556</v>
      </c>
      <c r="AC63" s="3">
        <f t="shared" si="6"/>
        <v>706.80442792633494</v>
      </c>
      <c r="AD63">
        <f t="shared" si="7"/>
        <v>448.76086958732651</v>
      </c>
      <c r="AE63">
        <f t="shared" si="8"/>
        <v>1.2609341877634561</v>
      </c>
      <c r="AF63">
        <f t="shared" si="9"/>
        <v>4.3139009816413589E-2</v>
      </c>
      <c r="AG63">
        <f t="shared" si="10"/>
        <v>4.4834507038635812E-2</v>
      </c>
      <c r="AH63">
        <f t="shared" si="11"/>
        <v>3.9303109400001042E-2</v>
      </c>
      <c r="AI63" s="7">
        <f t="shared" si="12"/>
        <v>452.31817317325283</v>
      </c>
    </row>
    <row r="64" spans="1:35" x14ac:dyDescent="0.25">
      <c r="A64">
        <v>83.78</v>
      </c>
      <c r="B64">
        <v>7.7069999999999999</v>
      </c>
      <c r="C64">
        <v>78.811999999999998</v>
      </c>
      <c r="D64">
        <v>523.25099999999998</v>
      </c>
      <c r="E64">
        <v>350.315</v>
      </c>
      <c r="F64">
        <v>2.5670000000000002</v>
      </c>
      <c r="G64">
        <v>81.521000000000001</v>
      </c>
      <c r="H64">
        <v>80.111000000000004</v>
      </c>
      <c r="I64">
        <v>5.3650000000000002</v>
      </c>
      <c r="J64">
        <v>8.3659999999999997</v>
      </c>
      <c r="K64">
        <v>54415.264999999999</v>
      </c>
      <c r="L64">
        <v>20.620999999999999</v>
      </c>
      <c r="M64">
        <f t="shared" si="0"/>
        <v>2.3238888888888889E-6</v>
      </c>
      <c r="N64">
        <v>282.26128499999993</v>
      </c>
      <c r="O64">
        <v>353.72180999999995</v>
      </c>
      <c r="P64">
        <v>914.26834799999983</v>
      </c>
      <c r="Q64">
        <v>715.73781999999983</v>
      </c>
      <c r="R64">
        <f t="shared" si="1"/>
        <v>1.7443785531786513</v>
      </c>
      <c r="S64">
        <v>1.6865934873467139</v>
      </c>
      <c r="T64">
        <v>71.460525000000018</v>
      </c>
      <c r="U64">
        <v>198.530528</v>
      </c>
      <c r="V64">
        <v>560.54653799999983</v>
      </c>
      <c r="W64">
        <v>0.2266894796164097</v>
      </c>
      <c r="X64">
        <f t="shared" si="2"/>
        <v>0.68058163771863833</v>
      </c>
      <c r="Y64">
        <f t="shared" si="3"/>
        <v>1.7738813161309133</v>
      </c>
      <c r="AA64" s="3">
        <f t="shared" si="4"/>
        <v>726.20807397517297</v>
      </c>
      <c r="AB64" s="6">
        <f t="shared" si="5"/>
        <v>712.5594494703455</v>
      </c>
      <c r="AC64" s="3">
        <f t="shared" si="6"/>
        <v>707.68494071862131</v>
      </c>
      <c r="AD64">
        <f t="shared" si="7"/>
        <v>452.2840434770095</v>
      </c>
      <c r="AE64">
        <f t="shared" si="8"/>
        <v>1.2609341877634561</v>
      </c>
      <c r="AF64">
        <f t="shared" si="9"/>
        <v>4.3139009816413589E-2</v>
      </c>
      <c r="AG64">
        <f t="shared" si="10"/>
        <v>4.4928404260858035E-2</v>
      </c>
      <c r="AH64">
        <f t="shared" si="11"/>
        <v>4.1479729183853759E-2</v>
      </c>
      <c r="AI64" s="7">
        <f t="shared" si="12"/>
        <v>454.89161593549954</v>
      </c>
    </row>
    <row r="65" spans="1:35" x14ac:dyDescent="0.25">
      <c r="A65">
        <v>84.78</v>
      </c>
      <c r="B65">
        <v>7.76</v>
      </c>
      <c r="C65">
        <v>78.765000000000001</v>
      </c>
      <c r="D65">
        <v>522.00199999999995</v>
      </c>
      <c r="E65">
        <v>350.57499999999999</v>
      </c>
      <c r="F65">
        <v>2.552</v>
      </c>
      <c r="G65">
        <v>81.516999999999996</v>
      </c>
      <c r="H65">
        <v>80.128</v>
      </c>
      <c r="I65">
        <v>5.3810000000000002</v>
      </c>
      <c r="J65">
        <v>8.8569999999999993</v>
      </c>
      <c r="K65">
        <v>54409.086000000003</v>
      </c>
      <c r="L65">
        <v>20.407</v>
      </c>
      <c r="M65">
        <f t="shared" si="0"/>
        <v>2.4602777777777776E-6</v>
      </c>
      <c r="N65">
        <v>282.31454999999994</v>
      </c>
      <c r="O65">
        <v>353.67457499999995</v>
      </c>
      <c r="P65">
        <v>912.83449599999983</v>
      </c>
      <c r="Q65">
        <v>716.03629999999987</v>
      </c>
      <c r="R65">
        <f t="shared" si="1"/>
        <v>1.7445875608192205</v>
      </c>
      <c r="S65">
        <v>1.6865017771695703</v>
      </c>
      <c r="T65">
        <v>71.360025000000007</v>
      </c>
      <c r="U65">
        <v>196.79819599999996</v>
      </c>
      <c r="V65">
        <v>559.15992099999994</v>
      </c>
      <c r="W65">
        <v>0.22433326547379631</v>
      </c>
      <c r="X65">
        <f t="shared" si="2"/>
        <v>0.68182751252646323</v>
      </c>
      <c r="Y65">
        <f t="shared" si="3"/>
        <v>1.7613364073604496</v>
      </c>
      <c r="AA65" s="3">
        <f t="shared" si="4"/>
        <v>725.07598301414248</v>
      </c>
      <c r="AB65" s="6">
        <f t="shared" si="5"/>
        <v>711.45009082244803</v>
      </c>
      <c r="AC65" s="3">
        <f t="shared" si="6"/>
        <v>706.58370075398568</v>
      </c>
      <c r="AD65">
        <f t="shared" si="7"/>
        <v>448.79484013114597</v>
      </c>
      <c r="AE65">
        <f t="shared" si="8"/>
        <v>1.2609341877634561</v>
      </c>
      <c r="AF65">
        <f t="shared" si="9"/>
        <v>4.3139009816413589E-2</v>
      </c>
      <c r="AG65">
        <f t="shared" si="10"/>
        <v>4.5033423705302479E-2</v>
      </c>
      <c r="AH65">
        <f t="shared" si="11"/>
        <v>4.391417181226305E-2</v>
      </c>
      <c r="AI65" s="7">
        <f t="shared" si="12"/>
        <v>450.32245880829072</v>
      </c>
    </row>
    <row r="66" spans="1:35" x14ac:dyDescent="0.25">
      <c r="A66">
        <v>85.78</v>
      </c>
      <c r="B66">
        <v>7.5990000000000002</v>
      </c>
      <c r="C66">
        <v>78.778000000000006</v>
      </c>
      <c r="D66">
        <v>521.33600000000001</v>
      </c>
      <c r="E66">
        <v>350.738</v>
      </c>
      <c r="F66">
        <v>2.5550000000000002</v>
      </c>
      <c r="G66">
        <v>81.14</v>
      </c>
      <c r="H66">
        <v>79.727000000000004</v>
      </c>
      <c r="I66">
        <v>5.2460000000000004</v>
      </c>
      <c r="J66">
        <v>8.2520000000000007</v>
      </c>
      <c r="K66">
        <v>54407.461000000003</v>
      </c>
      <c r="L66">
        <v>20.417999999999999</v>
      </c>
      <c r="M66">
        <f t="shared" si="0"/>
        <v>2.2922222222222223E-6</v>
      </c>
      <c r="N66">
        <v>282.15274499999992</v>
      </c>
      <c r="O66">
        <v>353.68763999999999</v>
      </c>
      <c r="P66">
        <v>912.06992799999989</v>
      </c>
      <c r="Q66">
        <v>716.2234239999998</v>
      </c>
      <c r="R66">
        <f t="shared" si="1"/>
        <v>1.7409834519824616</v>
      </c>
      <c r="S66">
        <v>1.6849079506372648</v>
      </c>
      <c r="T66">
        <v>71.534895000000063</v>
      </c>
      <c r="U66">
        <v>195.8465040000001</v>
      </c>
      <c r="V66">
        <v>558.3822879999999</v>
      </c>
      <c r="W66">
        <v>0.22262813787531896</v>
      </c>
      <c r="X66">
        <f t="shared" si="2"/>
        <v>0.67703957005799253</v>
      </c>
      <c r="Y66">
        <f t="shared" si="3"/>
        <v>1.7572644110166855</v>
      </c>
      <c r="AA66" s="3">
        <f t="shared" si="4"/>
        <v>724.58726465320319</v>
      </c>
      <c r="AB66" s="6">
        <f t="shared" si="5"/>
        <v>710.9958438913261</v>
      </c>
      <c r="AC66" s="3">
        <f t="shared" si="6"/>
        <v>706.14176504779857</v>
      </c>
      <c r="AD66">
        <f t="shared" si="7"/>
        <v>447.21315899074898</v>
      </c>
      <c r="AE66">
        <f t="shared" si="8"/>
        <v>1.2609341877634561</v>
      </c>
      <c r="AF66">
        <f t="shared" si="9"/>
        <v>4.3139009816413589E-2</v>
      </c>
      <c r="AG66">
        <f t="shared" si="10"/>
        <v>4.4904020927524699E-2</v>
      </c>
      <c r="AH66">
        <f t="shared" si="11"/>
        <v>4.0914502178479702E-2</v>
      </c>
      <c r="AI66" s="7">
        <f t="shared" si="12"/>
        <v>450.05286247410152</v>
      </c>
    </row>
    <row r="67" spans="1:35" x14ac:dyDescent="0.25">
      <c r="A67">
        <v>86.78</v>
      </c>
      <c r="B67">
        <v>7.6440000000000001</v>
      </c>
      <c r="C67">
        <v>78.853999999999999</v>
      </c>
      <c r="D67">
        <v>524.32399999999996</v>
      </c>
      <c r="E67">
        <v>350.95499999999998</v>
      </c>
      <c r="F67">
        <v>2.57</v>
      </c>
      <c r="G67">
        <v>81.125</v>
      </c>
      <c r="H67">
        <v>79.647000000000006</v>
      </c>
      <c r="I67">
        <v>5.6390000000000002</v>
      </c>
      <c r="J67">
        <v>7.9109999999999996</v>
      </c>
      <c r="K67">
        <v>54409.368999999999</v>
      </c>
      <c r="L67">
        <v>20.303000000000001</v>
      </c>
      <c r="M67">
        <f t="shared" si="0"/>
        <v>2.1974999999999997E-6</v>
      </c>
      <c r="N67">
        <v>282.19796999999994</v>
      </c>
      <c r="O67">
        <v>353.7640199999999</v>
      </c>
      <c r="P67">
        <v>915.50015199999984</v>
      </c>
      <c r="Q67">
        <v>716.47253999999998</v>
      </c>
      <c r="R67">
        <f t="shared" si="1"/>
        <v>1.7405958329405111</v>
      </c>
      <c r="S67">
        <v>1.6781077341738517</v>
      </c>
      <c r="T67">
        <v>71.566049999999962</v>
      </c>
      <c r="U67">
        <v>199.02761199999986</v>
      </c>
      <c r="V67">
        <v>561.736132</v>
      </c>
      <c r="W67">
        <v>0.22690646860508504</v>
      </c>
      <c r="X67">
        <f t="shared" si="2"/>
        <v>0.67655939004357335</v>
      </c>
      <c r="Y67">
        <f t="shared" si="3"/>
        <v>1.7921292293193805</v>
      </c>
      <c r="AA67" s="3">
        <f t="shared" si="4"/>
        <v>727.82183543628344</v>
      </c>
      <c r="AB67" s="6">
        <f t="shared" si="5"/>
        <v>714.27835899333854</v>
      </c>
      <c r="AC67" s="3">
        <f t="shared" si="6"/>
        <v>709.44140312085824</v>
      </c>
      <c r="AD67">
        <f t="shared" si="7"/>
        <v>455.01432092705085</v>
      </c>
      <c r="AE67">
        <f t="shared" si="8"/>
        <v>1.2609341877634561</v>
      </c>
      <c r="AF67">
        <f t="shared" si="9"/>
        <v>4.3139009816413589E-2</v>
      </c>
      <c r="AG67">
        <f t="shared" si="10"/>
        <v>4.483108481641359E-2</v>
      </c>
      <c r="AH67">
        <f t="shared" si="11"/>
        <v>3.9223779293983629E-2</v>
      </c>
      <c r="AI67" s="7">
        <f t="shared" si="12"/>
        <v>458.14355945695684</v>
      </c>
    </row>
    <row r="68" spans="1:35" x14ac:dyDescent="0.25">
      <c r="A68">
        <v>87.78</v>
      </c>
      <c r="B68">
        <v>7.7030000000000003</v>
      </c>
      <c r="C68">
        <v>78.799000000000007</v>
      </c>
      <c r="D68">
        <v>522.74</v>
      </c>
      <c r="E68">
        <v>350.19299999999998</v>
      </c>
      <c r="F68">
        <v>2.548</v>
      </c>
      <c r="G68">
        <v>81.147000000000006</v>
      </c>
      <c r="H68">
        <v>79.674000000000007</v>
      </c>
      <c r="I68">
        <v>5.3760000000000003</v>
      </c>
      <c r="J68">
        <v>9.1590000000000007</v>
      </c>
      <c r="K68">
        <v>54400.336000000003</v>
      </c>
      <c r="L68">
        <v>20.852</v>
      </c>
      <c r="M68">
        <f t="shared" si="0"/>
        <v>2.5441666666666667E-6</v>
      </c>
      <c r="N68">
        <v>282.2572649999999</v>
      </c>
      <c r="O68">
        <v>353.70874499999991</v>
      </c>
      <c r="P68">
        <v>913.68171999999993</v>
      </c>
      <c r="Q68">
        <v>715.59776399999987</v>
      </c>
      <c r="R68">
        <f t="shared" si="1"/>
        <v>1.7411643783946891</v>
      </c>
      <c r="S68">
        <v>1.6824093464124326</v>
      </c>
      <c r="T68">
        <v>71.451480000000004</v>
      </c>
      <c r="U68">
        <v>198.08395600000006</v>
      </c>
      <c r="V68">
        <v>559.97297500000002</v>
      </c>
      <c r="W68">
        <v>0.22614033471883183</v>
      </c>
      <c r="X68">
        <f t="shared" si="2"/>
        <v>0.67821848565199583</v>
      </c>
      <c r="Y68">
        <f t="shared" si="3"/>
        <v>1.7789435497816384</v>
      </c>
      <c r="AA68" s="3">
        <f t="shared" si="4"/>
        <v>726.05425955997907</v>
      </c>
      <c r="AB68" s="6">
        <f t="shared" si="5"/>
        <v>712.47508780775274</v>
      </c>
      <c r="AC68" s="3">
        <f t="shared" si="6"/>
        <v>707.62538361052907</v>
      </c>
      <c r="AD68">
        <f t="shared" si="7"/>
        <v>452.37956806933755</v>
      </c>
      <c r="AE68">
        <f t="shared" si="8"/>
        <v>1.2609341877634561</v>
      </c>
      <c r="AF68">
        <f t="shared" si="9"/>
        <v>4.3139009816413589E-2</v>
      </c>
      <c r="AG68">
        <f t="shared" si="10"/>
        <v>4.509801814974692E-2</v>
      </c>
      <c r="AH68">
        <f t="shared" si="11"/>
        <v>4.5411527563341693E-2</v>
      </c>
      <c r="AI68" s="7">
        <f t="shared" si="12"/>
        <v>453.5806969216319</v>
      </c>
    </row>
    <row r="69" spans="1:35" x14ac:dyDescent="0.25">
      <c r="A69">
        <v>88.78</v>
      </c>
      <c r="B69">
        <v>7.8360000000000003</v>
      </c>
      <c r="C69">
        <v>78.831999999999994</v>
      </c>
      <c r="D69">
        <v>522.28899999999999</v>
      </c>
      <c r="E69">
        <v>350.68599999999998</v>
      </c>
      <c r="F69">
        <v>2.5659999999999998</v>
      </c>
      <c r="G69">
        <v>81.143000000000001</v>
      </c>
      <c r="H69">
        <v>79.747</v>
      </c>
      <c r="I69">
        <v>5.444</v>
      </c>
      <c r="J69">
        <v>7.726</v>
      </c>
      <c r="K69">
        <v>54385.754000000001</v>
      </c>
      <c r="L69">
        <v>20.66</v>
      </c>
      <c r="M69">
        <f t="shared" ref="M69:M132" si="13">(J69/1000)/3600</f>
        <v>2.1461111111111111E-6</v>
      </c>
      <c r="N69">
        <v>282.39092999999997</v>
      </c>
      <c r="O69">
        <v>353.74190999999996</v>
      </c>
      <c r="P69">
        <v>913.16397199999983</v>
      </c>
      <c r="Q69">
        <v>716.16372799999999</v>
      </c>
      <c r="R69">
        <f t="shared" ref="R69:R132" si="14">(G69+103.5)/(F69+103.5)</f>
        <v>1.7408311805856731</v>
      </c>
      <c r="S69">
        <v>1.6820292994566017</v>
      </c>
      <c r="T69">
        <v>71.350979999999993</v>
      </c>
      <c r="U69">
        <v>197.00024399999984</v>
      </c>
      <c r="V69">
        <v>559.42206199999987</v>
      </c>
      <c r="W69">
        <v>0.22460548579508807</v>
      </c>
      <c r="X69">
        <f t="shared" ref="X69:X132" si="15">((B69+273.15)/(C69-B69)*((R69^(0.4/1.4)-1)))</f>
        <v>0.67924184133567278</v>
      </c>
      <c r="Y69">
        <f t="shared" ref="Y69:Y132" si="16">(D69-E69)/((D69+273.15)*(1-(1/S69^(0.333/1.333))))</f>
        <v>1.7709343050934372</v>
      </c>
      <c r="AA69" s="3">
        <f t="shared" ref="AA69:AA132" si="17">(D69+273.15)-((0.72*(D69+273.15))*(1-(1/S69^(0.333/1.333))))</f>
        <v>725.67121717223381</v>
      </c>
      <c r="AB69" s="6">
        <f t="shared" ref="AB69:AB132" si="18">(D69+273.15)-((0.86*(D69+273.15))*(1-(1/S69^(0.333/1.333))))</f>
        <v>712.10525940016805</v>
      </c>
      <c r="AC69" s="3">
        <f t="shared" ref="AC69:AC132" si="19">(D69+273.15)-((0.91*(D69+273.15))*(1-(1/S69^(0.333/1.333))))</f>
        <v>707.26027448157322</v>
      </c>
      <c r="AD69">
        <f t="shared" ref="AD69:AD132" si="20">SQRT(2*(1148)*(AB69-(E69+273.15)))</f>
        <v>450.18465054107054</v>
      </c>
      <c r="AE69">
        <f t="shared" ref="AE69:AE132" si="21">103500/(287*(12.85+273.15))</f>
        <v>1.2609341877634561</v>
      </c>
      <c r="AF69">
        <f t="shared" ref="AF69:AF132" si="22">(103500/(287*(12.85+273.15))*(PI()*(0.033^2)*10))</f>
        <v>4.3139009816413589E-2</v>
      </c>
      <c r="AG69">
        <f t="shared" ref="AG69:AG132" si="23">(AF69+(M69*770))</f>
        <v>4.4791515371969147E-2</v>
      </c>
      <c r="AH69">
        <f t="shared" ref="AH69:AH104" si="24">((M69*770)/AF69)</f>
        <v>3.8306524943157318E-2</v>
      </c>
      <c r="AI69" s="7">
        <f t="shared" ref="AI69:AI132" si="25">((L69)+(AF69*AD69)/AG69)</f>
        <v>454.23586582220133</v>
      </c>
    </row>
    <row r="70" spans="1:35" x14ac:dyDescent="0.25">
      <c r="A70">
        <v>89.78</v>
      </c>
      <c r="B70">
        <v>7.9219999999999997</v>
      </c>
      <c r="C70">
        <v>78.751999999999995</v>
      </c>
      <c r="D70">
        <v>524.23800000000006</v>
      </c>
      <c r="E70">
        <v>350.815</v>
      </c>
      <c r="F70">
        <v>2.5790000000000002</v>
      </c>
      <c r="G70">
        <v>81.325000000000003</v>
      </c>
      <c r="H70">
        <v>79.894999999999996</v>
      </c>
      <c r="I70">
        <v>5.4340000000000002</v>
      </c>
      <c r="J70">
        <v>8.1940000000000008</v>
      </c>
      <c r="K70">
        <v>54398.555999999997</v>
      </c>
      <c r="L70">
        <v>20.335999999999999</v>
      </c>
      <c r="M70">
        <f t="shared" si="13"/>
        <v>2.2761111111111115E-6</v>
      </c>
      <c r="N70">
        <v>282.47735999999998</v>
      </c>
      <c r="O70">
        <v>353.66150999999996</v>
      </c>
      <c r="P70">
        <v>915.40142400000002</v>
      </c>
      <c r="Q70">
        <v>716.3118199999999</v>
      </c>
      <c r="R70">
        <f t="shared" si="14"/>
        <v>1.7423335438682492</v>
      </c>
      <c r="S70">
        <v>1.6835423283823232</v>
      </c>
      <c r="T70">
        <v>71.184149999999988</v>
      </c>
      <c r="U70">
        <v>199.08960400000012</v>
      </c>
      <c r="V70">
        <v>561.739914</v>
      </c>
      <c r="W70">
        <v>0.22769515003699761</v>
      </c>
      <c r="X70">
        <f t="shared" si="15"/>
        <v>0.68218817112466712</v>
      </c>
      <c r="Y70">
        <f t="shared" si="16"/>
        <v>1.7824563015498267</v>
      </c>
      <c r="AA70" s="3">
        <f t="shared" si="17"/>
        <v>727.33603861871302</v>
      </c>
      <c r="AB70" s="6">
        <f t="shared" si="18"/>
        <v>713.71482390568508</v>
      </c>
      <c r="AC70" s="3">
        <f t="shared" si="19"/>
        <v>708.85010436531786</v>
      </c>
      <c r="AD70">
        <f t="shared" si="20"/>
        <v>453.94448524842016</v>
      </c>
      <c r="AE70">
        <f t="shared" si="21"/>
        <v>1.2609341877634561</v>
      </c>
      <c r="AF70">
        <f t="shared" si="22"/>
        <v>4.3139009816413589E-2</v>
      </c>
      <c r="AG70">
        <f t="shared" si="23"/>
        <v>4.4891615371969146E-2</v>
      </c>
      <c r="AH70">
        <f t="shared" si="24"/>
        <v>4.0626930544166599E-2</v>
      </c>
      <c r="AI70" s="7">
        <f t="shared" si="25"/>
        <v>456.55811949775574</v>
      </c>
    </row>
    <row r="71" spans="1:35" x14ac:dyDescent="0.25">
      <c r="A71">
        <v>90.78</v>
      </c>
      <c r="B71">
        <v>7.8970000000000002</v>
      </c>
      <c r="C71">
        <v>78.861999999999995</v>
      </c>
      <c r="D71">
        <v>525.24199999999996</v>
      </c>
      <c r="E71">
        <v>350.60500000000002</v>
      </c>
      <c r="F71">
        <v>2.5910000000000002</v>
      </c>
      <c r="G71">
        <v>81.712999999999994</v>
      </c>
      <c r="H71">
        <v>80.234999999999999</v>
      </c>
      <c r="I71">
        <v>5.4119999999999999</v>
      </c>
      <c r="J71">
        <v>8.1389999999999993</v>
      </c>
      <c r="K71">
        <v>54420.004000000001</v>
      </c>
      <c r="L71">
        <v>20.067</v>
      </c>
      <c r="M71">
        <f t="shared" si="13"/>
        <v>2.260833333333333E-6</v>
      </c>
      <c r="N71">
        <v>282.45223499999992</v>
      </c>
      <c r="O71">
        <v>353.7720599999999</v>
      </c>
      <c r="P71">
        <v>916.55401599999982</v>
      </c>
      <c r="Q71">
        <v>716.07073999999989</v>
      </c>
      <c r="R71">
        <f t="shared" si="14"/>
        <v>1.7457937054038515</v>
      </c>
      <c r="S71">
        <v>1.6870041868664609</v>
      </c>
      <c r="T71">
        <v>71.31982499999998</v>
      </c>
      <c r="U71">
        <v>200.48327599999993</v>
      </c>
      <c r="V71">
        <v>562.78195599999992</v>
      </c>
      <c r="W71">
        <v>0.22950887039455822</v>
      </c>
      <c r="X71">
        <f t="shared" si="15"/>
        <v>0.68346144364833661</v>
      </c>
      <c r="Y71">
        <f t="shared" si="16"/>
        <v>1.7860832813579719</v>
      </c>
      <c r="AA71" s="3">
        <f t="shared" si="17"/>
        <v>727.99290869648587</v>
      </c>
      <c r="AB71" s="6">
        <f t="shared" si="18"/>
        <v>714.30419649858027</v>
      </c>
      <c r="AC71" s="3">
        <f t="shared" si="19"/>
        <v>709.41537071361404</v>
      </c>
      <c r="AD71">
        <f t="shared" si="20"/>
        <v>455.9615720219636</v>
      </c>
      <c r="AE71">
        <f t="shared" si="21"/>
        <v>1.2609341877634561</v>
      </c>
      <c r="AF71">
        <f t="shared" si="22"/>
        <v>4.3139009816413589E-2</v>
      </c>
      <c r="AG71">
        <f t="shared" si="23"/>
        <v>4.4879851483080255E-2</v>
      </c>
      <c r="AH71">
        <f t="shared" si="24"/>
        <v>4.0354233304731736E-2</v>
      </c>
      <c r="AI71" s="7">
        <f t="shared" si="25"/>
        <v>458.34230799156865</v>
      </c>
    </row>
    <row r="72" spans="1:35" x14ac:dyDescent="0.25">
      <c r="A72">
        <v>91.78</v>
      </c>
      <c r="B72">
        <v>7.8079999999999998</v>
      </c>
      <c r="C72">
        <v>79.070999999999998</v>
      </c>
      <c r="D72">
        <v>525.351</v>
      </c>
      <c r="E72">
        <v>350.94400000000002</v>
      </c>
      <c r="F72">
        <v>2.5550000000000002</v>
      </c>
      <c r="G72">
        <v>81.816000000000003</v>
      </c>
      <c r="H72">
        <v>80.491</v>
      </c>
      <c r="I72">
        <v>5.3479999999999999</v>
      </c>
      <c r="J72">
        <v>7.57</v>
      </c>
      <c r="K72">
        <v>54459.317000000003</v>
      </c>
      <c r="L72">
        <v>20.506</v>
      </c>
      <c r="M72">
        <f t="shared" si="13"/>
        <v>2.102777777777778E-6</v>
      </c>
      <c r="N72">
        <v>282.36278999999996</v>
      </c>
      <c r="O72">
        <v>353.98210499999999</v>
      </c>
      <c r="P72">
        <v>916.67914799999994</v>
      </c>
      <c r="Q72">
        <v>716.45991200000003</v>
      </c>
      <c r="R72">
        <f t="shared" si="14"/>
        <v>1.747357503182311</v>
      </c>
      <c r="S72">
        <v>1.6903480082316624</v>
      </c>
      <c r="T72">
        <v>71.619315000000029</v>
      </c>
      <c r="U72">
        <v>200.21923599999991</v>
      </c>
      <c r="V72">
        <v>562.69704299999989</v>
      </c>
      <c r="W72">
        <v>0.22854202381155911</v>
      </c>
      <c r="X72">
        <f t="shared" si="15"/>
        <v>0.68157065498230995</v>
      </c>
      <c r="Y72">
        <f t="shared" si="16"/>
        <v>1.7771897808424415</v>
      </c>
      <c r="AA72" s="3">
        <f t="shared" si="17"/>
        <v>727.84279492047574</v>
      </c>
      <c r="AB72" s="6">
        <f t="shared" si="18"/>
        <v>714.10369948834602</v>
      </c>
      <c r="AC72" s="3">
        <f t="shared" si="19"/>
        <v>709.19687969115682</v>
      </c>
      <c r="AD72">
        <f t="shared" si="20"/>
        <v>454.60122087962145</v>
      </c>
      <c r="AE72">
        <f t="shared" si="21"/>
        <v>1.2609341877634561</v>
      </c>
      <c r="AF72">
        <f t="shared" si="22"/>
        <v>4.3139009816413589E-2</v>
      </c>
      <c r="AG72">
        <f t="shared" si="23"/>
        <v>4.4758148705302481E-2</v>
      </c>
      <c r="AH72">
        <f t="shared" si="24"/>
        <v>3.7533056409487571E-2</v>
      </c>
      <c r="AI72" s="7">
        <f t="shared" si="25"/>
        <v>458.66189110271398</v>
      </c>
    </row>
    <row r="73" spans="1:35" x14ac:dyDescent="0.25">
      <c r="A73">
        <v>92.78</v>
      </c>
      <c r="B73">
        <v>7.8120000000000003</v>
      </c>
      <c r="C73">
        <v>79.09</v>
      </c>
      <c r="D73">
        <v>525.65800000000002</v>
      </c>
      <c r="E73">
        <v>351.05900000000003</v>
      </c>
      <c r="F73">
        <v>2.621</v>
      </c>
      <c r="G73">
        <v>81.536000000000001</v>
      </c>
      <c r="H73">
        <v>80.120999999999995</v>
      </c>
      <c r="I73">
        <v>5.5149999999999997</v>
      </c>
      <c r="J73">
        <v>8.7430000000000003</v>
      </c>
      <c r="K73">
        <v>54487.381000000001</v>
      </c>
      <c r="L73">
        <v>19.82</v>
      </c>
      <c r="M73">
        <f t="shared" si="13"/>
        <v>2.4286111111111113E-6</v>
      </c>
      <c r="N73">
        <v>282.36680999999999</v>
      </c>
      <c r="O73">
        <v>354.00119999999998</v>
      </c>
      <c r="P73">
        <v>917.03158399999995</v>
      </c>
      <c r="Q73">
        <v>716.59193200000004</v>
      </c>
      <c r="R73">
        <f t="shared" si="14"/>
        <v>1.7436322688252091</v>
      </c>
      <c r="S73">
        <v>1.6843645369903222</v>
      </c>
      <c r="T73">
        <v>71.634389999999996</v>
      </c>
      <c r="U73">
        <v>200.43965199999991</v>
      </c>
      <c r="V73">
        <v>563.03038399999991</v>
      </c>
      <c r="W73">
        <v>0.22877142275149387</v>
      </c>
      <c r="X73">
        <f t="shared" si="15"/>
        <v>0.67861867923682595</v>
      </c>
      <c r="Y73">
        <f t="shared" si="16"/>
        <v>1.7897825078776222</v>
      </c>
      <c r="AA73" s="3">
        <f t="shared" si="17"/>
        <v>728.56970040399369</v>
      </c>
      <c r="AB73" s="6">
        <f t="shared" si="18"/>
        <v>714.91225326032577</v>
      </c>
      <c r="AC73" s="3">
        <f t="shared" si="19"/>
        <v>710.03459356615861</v>
      </c>
      <c r="AD73">
        <f t="shared" si="20"/>
        <v>456.3492845241546</v>
      </c>
      <c r="AE73">
        <f t="shared" si="21"/>
        <v>1.2609341877634561</v>
      </c>
      <c r="AF73">
        <f t="shared" si="22"/>
        <v>4.3139009816413589E-2</v>
      </c>
      <c r="AG73">
        <f t="shared" si="23"/>
        <v>4.5009040371969143E-2</v>
      </c>
      <c r="AH73">
        <f t="shared" si="24"/>
        <v>4.3348944806889007E-2</v>
      </c>
      <c r="AI73" s="7">
        <f t="shared" si="25"/>
        <v>457.20893569171074</v>
      </c>
    </row>
    <row r="74" spans="1:35" x14ac:dyDescent="0.25">
      <c r="A74">
        <v>93.78</v>
      </c>
      <c r="B74">
        <v>7.8659999999999997</v>
      </c>
      <c r="C74">
        <v>79.233999999999995</v>
      </c>
      <c r="D74">
        <v>523.39</v>
      </c>
      <c r="E74">
        <v>350.75299999999999</v>
      </c>
      <c r="F74">
        <v>2.589</v>
      </c>
      <c r="G74">
        <v>81.224999999999994</v>
      </c>
      <c r="H74">
        <v>79.87</v>
      </c>
      <c r="I74">
        <v>5.7069999999999999</v>
      </c>
      <c r="J74">
        <v>7.8730000000000002</v>
      </c>
      <c r="K74">
        <v>54482.358999999997</v>
      </c>
      <c r="L74">
        <v>20.626999999999999</v>
      </c>
      <c r="M74">
        <f t="shared" si="13"/>
        <v>2.1869444444444446E-6</v>
      </c>
      <c r="N74">
        <v>282.42107999999996</v>
      </c>
      <c r="O74">
        <v>354.14591999999993</v>
      </c>
      <c r="P74">
        <v>914.42791999999986</v>
      </c>
      <c r="Q74">
        <v>716.24064399999997</v>
      </c>
      <c r="R74">
        <f t="shared" si="14"/>
        <v>1.7412267058790261</v>
      </c>
      <c r="S74">
        <v>1.679104819288141</v>
      </c>
      <c r="T74">
        <v>71.724839999999972</v>
      </c>
      <c r="U74">
        <v>198.18727599999988</v>
      </c>
      <c r="V74">
        <v>560.28199999999993</v>
      </c>
      <c r="W74">
        <v>0.22571211639852776</v>
      </c>
      <c r="X74">
        <f t="shared" si="15"/>
        <v>0.67607294356140535</v>
      </c>
      <c r="Y74">
        <f t="shared" si="16"/>
        <v>1.7847368260695302</v>
      </c>
      <c r="AA74" s="3">
        <f t="shared" si="17"/>
        <v>726.89463930346574</v>
      </c>
      <c r="AB74" s="6">
        <f t="shared" si="18"/>
        <v>713.35248583469524</v>
      </c>
      <c r="AC74" s="3">
        <f t="shared" si="19"/>
        <v>708.51600245299153</v>
      </c>
      <c r="AD74">
        <f t="shared" si="20"/>
        <v>453.18431071304781</v>
      </c>
      <c r="AE74">
        <f t="shared" si="21"/>
        <v>1.2609341877634561</v>
      </c>
      <c r="AF74">
        <f t="shared" si="22"/>
        <v>4.3139009816413589E-2</v>
      </c>
      <c r="AG74">
        <f t="shared" si="23"/>
        <v>4.4822957038635813E-2</v>
      </c>
      <c r="AH74">
        <f t="shared" si="24"/>
        <v>3.9035370292192284E-2</v>
      </c>
      <c r="AI74" s="7">
        <f t="shared" si="25"/>
        <v>456.78569456456097</v>
      </c>
    </row>
    <row r="75" spans="1:35" x14ac:dyDescent="0.25">
      <c r="A75">
        <v>94.78</v>
      </c>
      <c r="B75">
        <v>7.9320000000000004</v>
      </c>
      <c r="C75">
        <v>79.352999999999994</v>
      </c>
      <c r="D75">
        <v>520.77599999999995</v>
      </c>
      <c r="E75">
        <v>351.154</v>
      </c>
      <c r="F75">
        <v>2.5670000000000002</v>
      </c>
      <c r="G75">
        <v>81.168000000000006</v>
      </c>
      <c r="H75">
        <v>79.866</v>
      </c>
      <c r="I75">
        <v>5.431</v>
      </c>
      <c r="J75">
        <v>8.0630000000000006</v>
      </c>
      <c r="K75">
        <v>54456.519</v>
      </c>
      <c r="L75">
        <v>20.768999999999998</v>
      </c>
      <c r="M75">
        <f t="shared" si="13"/>
        <v>2.2397222222222223E-6</v>
      </c>
      <c r="N75">
        <v>282.48740999999995</v>
      </c>
      <c r="O75">
        <v>354.26551499999994</v>
      </c>
      <c r="P75">
        <v>911.4270479999999</v>
      </c>
      <c r="Q75">
        <v>716.70099199999993</v>
      </c>
      <c r="R75">
        <f t="shared" si="14"/>
        <v>1.7410504681003516</v>
      </c>
      <c r="S75">
        <v>1.6833224701875498</v>
      </c>
      <c r="T75">
        <v>71.778104999999982</v>
      </c>
      <c r="U75">
        <v>194.72605599999997</v>
      </c>
      <c r="V75">
        <v>557.16153299999996</v>
      </c>
      <c r="W75">
        <v>0.22066841251224714</v>
      </c>
      <c r="X75">
        <f t="shared" si="15"/>
        <v>0.67559655379744132</v>
      </c>
      <c r="Y75">
        <f t="shared" si="16"/>
        <v>1.7514027093807438</v>
      </c>
      <c r="AA75" s="3">
        <f t="shared" si="17"/>
        <v>724.19455597181206</v>
      </c>
      <c r="AB75" s="6">
        <f t="shared" si="18"/>
        <v>710.63566407744213</v>
      </c>
      <c r="AC75" s="3">
        <f t="shared" si="19"/>
        <v>705.79320268659581</v>
      </c>
      <c r="AD75">
        <f t="shared" si="20"/>
        <v>445.21624040662215</v>
      </c>
      <c r="AE75">
        <f t="shared" si="21"/>
        <v>1.2609341877634561</v>
      </c>
      <c r="AF75">
        <f t="shared" si="22"/>
        <v>4.3139009816413589E-2</v>
      </c>
      <c r="AG75">
        <f t="shared" si="23"/>
        <v>4.4863595927524702E-2</v>
      </c>
      <c r="AH75">
        <f t="shared" si="24"/>
        <v>3.9977415301149039E-2</v>
      </c>
      <c r="AI75" s="7">
        <f t="shared" si="25"/>
        <v>448.87083553620698</v>
      </c>
    </row>
    <row r="76" spans="1:35" x14ac:dyDescent="0.25">
      <c r="A76">
        <v>95.78</v>
      </c>
      <c r="B76">
        <v>7.9320000000000004</v>
      </c>
      <c r="C76">
        <v>79.278000000000006</v>
      </c>
      <c r="D76">
        <v>519.49900000000002</v>
      </c>
      <c r="E76">
        <v>350.84899999999999</v>
      </c>
      <c r="F76">
        <v>2.5680000000000001</v>
      </c>
      <c r="G76">
        <v>81.64</v>
      </c>
      <c r="H76">
        <v>80.179000000000002</v>
      </c>
      <c r="I76">
        <v>5.3760000000000003</v>
      </c>
      <c r="J76">
        <v>8.4629999999999992</v>
      </c>
      <c r="K76">
        <v>54450.502</v>
      </c>
      <c r="L76">
        <v>20.863</v>
      </c>
      <c r="M76">
        <f t="shared" si="13"/>
        <v>2.3508333333333334E-6</v>
      </c>
      <c r="N76">
        <v>282.48740999999995</v>
      </c>
      <c r="O76">
        <v>354.19013999999999</v>
      </c>
      <c r="P76">
        <v>909.96105199999988</v>
      </c>
      <c r="Q76">
        <v>716.35085199999992</v>
      </c>
      <c r="R76">
        <f t="shared" si="14"/>
        <v>1.7454840291133988</v>
      </c>
      <c r="S76">
        <v>1.687047650538227</v>
      </c>
      <c r="T76">
        <v>71.702730000000031</v>
      </c>
      <c r="U76">
        <v>193.61019999999996</v>
      </c>
      <c r="V76">
        <v>555.77091199999995</v>
      </c>
      <c r="W76">
        <v>0.21934841742851044</v>
      </c>
      <c r="X76">
        <f t="shared" si="15"/>
        <v>0.67966215933622587</v>
      </c>
      <c r="Y76">
        <f t="shared" si="16"/>
        <v>1.7372688040606408</v>
      </c>
      <c r="AA76" s="3">
        <f t="shared" si="17"/>
        <v>722.75308077542297</v>
      </c>
      <c r="AB76" s="6">
        <f t="shared" si="18"/>
        <v>709.16220759286637</v>
      </c>
      <c r="AC76" s="3">
        <f t="shared" si="19"/>
        <v>704.30832431338183</v>
      </c>
      <c r="AD76">
        <f t="shared" si="20"/>
        <v>442.19308523904027</v>
      </c>
      <c r="AE76">
        <f t="shared" si="21"/>
        <v>1.2609341877634561</v>
      </c>
      <c r="AF76">
        <f t="shared" si="22"/>
        <v>4.3139009816413589E-2</v>
      </c>
      <c r="AG76">
        <f t="shared" si="23"/>
        <v>4.4949151483080256E-2</v>
      </c>
      <c r="AH76">
        <f t="shared" si="24"/>
        <v>4.1960667951584311E-2</v>
      </c>
      <c r="AI76" s="7">
        <f t="shared" si="25"/>
        <v>445.24858271912353</v>
      </c>
    </row>
    <row r="77" spans="1:35" x14ac:dyDescent="0.25">
      <c r="A77">
        <v>96.78</v>
      </c>
      <c r="B77">
        <v>7.9550000000000001</v>
      </c>
      <c r="C77">
        <v>79.117999999999995</v>
      </c>
      <c r="D77">
        <v>520.03899999999999</v>
      </c>
      <c r="E77">
        <v>351.113</v>
      </c>
      <c r="F77">
        <v>2.5550000000000002</v>
      </c>
      <c r="G77">
        <v>81.123999999999995</v>
      </c>
      <c r="H77">
        <v>79.706000000000003</v>
      </c>
      <c r="I77">
        <v>5.7919999999999998</v>
      </c>
      <c r="J77">
        <v>7.3559999999999999</v>
      </c>
      <c r="K77">
        <v>54462.851999999999</v>
      </c>
      <c r="L77">
        <v>19.59</v>
      </c>
      <c r="M77">
        <f t="shared" si="13"/>
        <v>2.0433333333333334E-6</v>
      </c>
      <c r="N77">
        <v>282.51052499999992</v>
      </c>
      <c r="O77">
        <v>354.02933999999993</v>
      </c>
      <c r="P77">
        <v>910.58097199999986</v>
      </c>
      <c r="Q77">
        <v>716.65392399999985</v>
      </c>
      <c r="R77">
        <f t="shared" si="14"/>
        <v>1.7408325868653056</v>
      </c>
      <c r="S77">
        <v>1.6762983566958241</v>
      </c>
      <c r="T77">
        <v>71.518815000000018</v>
      </c>
      <c r="U77">
        <v>193.92704800000001</v>
      </c>
      <c r="V77">
        <v>556.55163199999993</v>
      </c>
      <c r="W77">
        <v>0.21994047984392581</v>
      </c>
      <c r="X77">
        <f t="shared" si="15"/>
        <v>0.67793590535340442</v>
      </c>
      <c r="Y77">
        <f t="shared" si="16"/>
        <v>1.7590693877853534</v>
      </c>
      <c r="AA77" s="3">
        <f t="shared" si="17"/>
        <v>724.0463494345629</v>
      </c>
      <c r="AB77" s="6">
        <f t="shared" si="18"/>
        <v>710.60194515795013</v>
      </c>
      <c r="AC77" s="3">
        <f t="shared" si="19"/>
        <v>705.800372202017</v>
      </c>
      <c r="AD77">
        <f t="shared" si="20"/>
        <v>445.2350144391765</v>
      </c>
      <c r="AE77">
        <f t="shared" si="21"/>
        <v>1.2609341877634561</v>
      </c>
      <c r="AF77">
        <f t="shared" si="22"/>
        <v>4.3139009816413589E-2</v>
      </c>
      <c r="AG77">
        <f t="shared" si="23"/>
        <v>4.4712376483080254E-2</v>
      </c>
      <c r="AH77">
        <f t="shared" si="24"/>
        <v>3.6472016241504687E-2</v>
      </c>
      <c r="AI77" s="7">
        <f t="shared" si="25"/>
        <v>449.15781028561202</v>
      </c>
    </row>
    <row r="78" spans="1:35" x14ac:dyDescent="0.25">
      <c r="A78">
        <v>97.78</v>
      </c>
      <c r="B78">
        <v>7.9139999999999997</v>
      </c>
      <c r="C78">
        <v>79.13</v>
      </c>
      <c r="D78">
        <v>521.80999999999995</v>
      </c>
      <c r="E78">
        <v>351.18400000000003</v>
      </c>
      <c r="F78">
        <v>2.5750000000000002</v>
      </c>
      <c r="G78">
        <v>81.95</v>
      </c>
      <c r="H78">
        <v>80.405000000000001</v>
      </c>
      <c r="I78">
        <v>5.4020000000000001</v>
      </c>
      <c r="J78">
        <v>8.0630000000000006</v>
      </c>
      <c r="K78">
        <v>54470.841999999997</v>
      </c>
      <c r="L78">
        <v>20.747</v>
      </c>
      <c r="M78">
        <f t="shared" si="13"/>
        <v>2.2397222222222223E-6</v>
      </c>
      <c r="N78">
        <v>282.46931999999993</v>
      </c>
      <c r="O78">
        <v>354.04139999999995</v>
      </c>
      <c r="P78">
        <v>912.61407999999983</v>
      </c>
      <c r="Q78">
        <v>716.73543200000006</v>
      </c>
      <c r="R78">
        <f t="shared" si="14"/>
        <v>1.7482913033231202</v>
      </c>
      <c r="S78">
        <v>1.6887201336981874</v>
      </c>
      <c r="T78">
        <v>71.572080000000028</v>
      </c>
      <c r="U78">
        <v>195.87864799999977</v>
      </c>
      <c r="V78">
        <v>558.57267999999988</v>
      </c>
      <c r="W78">
        <v>0.22254322928933754</v>
      </c>
      <c r="X78">
        <f t="shared" si="15"/>
        <v>0.68298442444842822</v>
      </c>
      <c r="Y78">
        <f t="shared" si="16"/>
        <v>1.7494117426393681</v>
      </c>
      <c r="AA78" s="3">
        <f t="shared" si="17"/>
        <v>724.73598297433796</v>
      </c>
      <c r="AB78" s="6">
        <f t="shared" si="18"/>
        <v>711.08131299712591</v>
      </c>
      <c r="AC78" s="3">
        <f t="shared" si="19"/>
        <v>706.20464514812159</v>
      </c>
      <c r="AD78">
        <f t="shared" si="20"/>
        <v>446.28671349414037</v>
      </c>
      <c r="AE78">
        <f t="shared" si="21"/>
        <v>1.2609341877634561</v>
      </c>
      <c r="AF78">
        <f t="shared" si="22"/>
        <v>4.3139009816413589E-2</v>
      </c>
      <c r="AG78">
        <f t="shared" si="23"/>
        <v>4.4863595927524702E-2</v>
      </c>
      <c r="AH78">
        <f t="shared" si="24"/>
        <v>3.9977415301149039E-2</v>
      </c>
      <c r="AI78" s="7">
        <f t="shared" si="25"/>
        <v>449.87815893474277</v>
      </c>
    </row>
    <row r="79" spans="1:35" x14ac:dyDescent="0.25">
      <c r="A79">
        <v>98.78</v>
      </c>
      <c r="B79">
        <v>7.8170000000000002</v>
      </c>
      <c r="C79">
        <v>79.049000000000007</v>
      </c>
      <c r="D79">
        <v>521.22299999999996</v>
      </c>
      <c r="E79">
        <v>350.96499999999997</v>
      </c>
      <c r="F79">
        <v>2.597</v>
      </c>
      <c r="G79">
        <v>81.790000000000006</v>
      </c>
      <c r="H79">
        <v>80.289000000000001</v>
      </c>
      <c r="I79">
        <v>5.5030000000000001</v>
      </c>
      <c r="J79">
        <v>7.6840000000000002</v>
      </c>
      <c r="K79">
        <v>54479.245000000003</v>
      </c>
      <c r="L79">
        <v>19.978999999999999</v>
      </c>
      <c r="M79">
        <f t="shared" si="13"/>
        <v>2.1344444444444442E-6</v>
      </c>
      <c r="N79">
        <v>282.37183499999998</v>
      </c>
      <c r="O79">
        <v>353.95999499999994</v>
      </c>
      <c r="P79">
        <v>911.94020399999988</v>
      </c>
      <c r="Q79">
        <v>716.48401999999999</v>
      </c>
      <c r="R79">
        <f t="shared" si="14"/>
        <v>1.7464207282015518</v>
      </c>
      <c r="S79">
        <v>1.6860912084988486</v>
      </c>
      <c r="T79">
        <v>71.588159999999959</v>
      </c>
      <c r="U79">
        <v>195.45618399999989</v>
      </c>
      <c r="V79">
        <v>557.98020899999995</v>
      </c>
      <c r="W79">
        <v>0.22199357970418615</v>
      </c>
      <c r="X79">
        <f t="shared" si="15"/>
        <v>0.68118035283784195</v>
      </c>
      <c r="Y79">
        <f t="shared" si="16"/>
        <v>1.7518048885636959</v>
      </c>
      <c r="AA79" s="3">
        <f t="shared" si="17"/>
        <v>724.39616593572919</v>
      </c>
      <c r="AB79" s="6">
        <f t="shared" si="18"/>
        <v>710.78955931212101</v>
      </c>
      <c r="AC79" s="3">
        <f t="shared" si="19"/>
        <v>705.93005694654664</v>
      </c>
      <c r="AD79">
        <f t="shared" si="20"/>
        <v>446.09952721408462</v>
      </c>
      <c r="AE79">
        <f t="shared" si="21"/>
        <v>1.2609341877634561</v>
      </c>
      <c r="AF79">
        <f t="shared" si="22"/>
        <v>4.3139009816413589E-2</v>
      </c>
      <c r="AG79">
        <f t="shared" si="23"/>
        <v>4.478253203863581E-2</v>
      </c>
      <c r="AH79">
        <f t="shared" si="24"/>
        <v>3.8098283414861614E-2</v>
      </c>
      <c r="AI79" s="7">
        <f t="shared" si="25"/>
        <v>449.70664172831897</v>
      </c>
    </row>
    <row r="80" spans="1:35" x14ac:dyDescent="0.25">
      <c r="A80">
        <v>99.78</v>
      </c>
      <c r="B80">
        <v>7.8109999999999999</v>
      </c>
      <c r="C80">
        <v>79.147000000000006</v>
      </c>
      <c r="D80">
        <v>521.62800000000004</v>
      </c>
      <c r="E80">
        <v>351.15699999999998</v>
      </c>
      <c r="F80">
        <v>2.609</v>
      </c>
      <c r="G80">
        <v>81.917000000000002</v>
      </c>
      <c r="H80">
        <v>80.531000000000006</v>
      </c>
      <c r="I80">
        <v>5.44</v>
      </c>
      <c r="J80">
        <v>7.835</v>
      </c>
      <c r="K80">
        <v>54481.112999999998</v>
      </c>
      <c r="L80">
        <v>20.236999999999998</v>
      </c>
      <c r="M80">
        <f t="shared" si="13"/>
        <v>2.176388888888889E-6</v>
      </c>
      <c r="N80">
        <v>282.36580499999991</v>
      </c>
      <c r="O80">
        <v>354.05848499999991</v>
      </c>
      <c r="P80">
        <v>912.40514399999995</v>
      </c>
      <c r="Q80">
        <v>716.70443599999999</v>
      </c>
      <c r="R80">
        <f t="shared" si="14"/>
        <v>1.7474201057403238</v>
      </c>
      <c r="S80">
        <v>1.6892876812924547</v>
      </c>
      <c r="T80">
        <v>71.692679999999996</v>
      </c>
      <c r="U80">
        <v>195.70070799999996</v>
      </c>
      <c r="V80">
        <v>558.34665900000005</v>
      </c>
      <c r="W80">
        <v>0.22209862994810176</v>
      </c>
      <c r="X80">
        <f t="shared" si="15"/>
        <v>0.68092774132443024</v>
      </c>
      <c r="Y80">
        <f t="shared" si="16"/>
        <v>1.7471740903512329</v>
      </c>
      <c r="AA80" s="3">
        <f t="shared" si="17"/>
        <v>724.52791978313633</v>
      </c>
      <c r="AB80" s="6">
        <f t="shared" si="18"/>
        <v>710.86818196319052</v>
      </c>
      <c r="AC80" s="3">
        <f t="shared" si="19"/>
        <v>705.98970417035275</v>
      </c>
      <c r="AD80">
        <f t="shared" si="20"/>
        <v>445.80766456790019</v>
      </c>
      <c r="AE80">
        <f t="shared" si="21"/>
        <v>1.2609341877634561</v>
      </c>
      <c r="AF80">
        <f t="shared" si="22"/>
        <v>4.3139009816413589E-2</v>
      </c>
      <c r="AG80">
        <f t="shared" si="23"/>
        <v>4.481482926085803E-2</v>
      </c>
      <c r="AH80">
        <f t="shared" si="24"/>
        <v>3.8846961290400932E-2</v>
      </c>
      <c r="AI80" s="7">
        <f t="shared" si="25"/>
        <v>449.37399628494023</v>
      </c>
    </row>
    <row r="81" spans="1:35" x14ac:dyDescent="0.25">
      <c r="A81">
        <v>100.78</v>
      </c>
      <c r="B81">
        <v>7.6360000000000001</v>
      </c>
      <c r="C81">
        <v>79.230999999999995</v>
      </c>
      <c r="D81">
        <v>520.79399999999998</v>
      </c>
      <c r="E81">
        <v>351.274</v>
      </c>
      <c r="F81">
        <v>2.5910000000000002</v>
      </c>
      <c r="G81">
        <v>81.474999999999994</v>
      </c>
      <c r="H81">
        <v>79.992999999999995</v>
      </c>
      <c r="I81">
        <v>5.4459999999999997</v>
      </c>
      <c r="J81">
        <v>8.0239999999999991</v>
      </c>
      <c r="K81">
        <v>54488.966</v>
      </c>
      <c r="L81">
        <v>20.402000000000001</v>
      </c>
      <c r="M81">
        <f t="shared" si="13"/>
        <v>2.228888888888889E-6</v>
      </c>
      <c r="N81">
        <v>282.18992999999995</v>
      </c>
      <c r="O81">
        <v>354.14290499999993</v>
      </c>
      <c r="P81">
        <v>911.44771199999991</v>
      </c>
      <c r="Q81">
        <v>716.83875199999989</v>
      </c>
      <c r="R81">
        <f t="shared" si="14"/>
        <v>1.7435503482859056</v>
      </c>
      <c r="S81">
        <v>1.6842564206120463</v>
      </c>
      <c r="T81">
        <v>71.952974999999981</v>
      </c>
      <c r="U81">
        <v>194.60896000000002</v>
      </c>
      <c r="V81">
        <v>557.30480699999998</v>
      </c>
      <c r="W81">
        <v>0.22008779299834758</v>
      </c>
      <c r="X81">
        <f t="shared" si="15"/>
        <v>0.67512904271666008</v>
      </c>
      <c r="Y81">
        <f t="shared" si="16"/>
        <v>1.7485660833631527</v>
      </c>
      <c r="AA81" s="3">
        <f t="shared" si="17"/>
        <v>724.14143367934753</v>
      </c>
      <c r="AB81" s="6">
        <f t="shared" si="18"/>
        <v>710.56871245033176</v>
      </c>
      <c r="AC81" s="3">
        <f t="shared" si="19"/>
        <v>705.72131201139757</v>
      </c>
      <c r="AD81">
        <f t="shared" si="20"/>
        <v>444.73392021068258</v>
      </c>
      <c r="AE81">
        <f t="shared" si="21"/>
        <v>1.2609341877634561</v>
      </c>
      <c r="AF81">
        <f t="shared" si="22"/>
        <v>4.3139009816413589E-2</v>
      </c>
      <c r="AG81">
        <f t="shared" si="23"/>
        <v>4.4855254260858034E-2</v>
      </c>
      <c r="AH81">
        <f t="shared" si="24"/>
        <v>3.9784048167731602E-2</v>
      </c>
      <c r="AI81" s="7">
        <f t="shared" si="25"/>
        <v>448.11958327546569</v>
      </c>
    </row>
    <row r="82" spans="1:35" x14ac:dyDescent="0.25">
      <c r="A82">
        <v>101.78</v>
      </c>
      <c r="B82">
        <v>7.6269999999999998</v>
      </c>
      <c r="C82">
        <v>79.22</v>
      </c>
      <c r="D82">
        <v>520.46500000000003</v>
      </c>
      <c r="E82">
        <v>351.71100000000001</v>
      </c>
      <c r="F82">
        <v>2.5649999999999999</v>
      </c>
      <c r="G82">
        <v>81.048000000000002</v>
      </c>
      <c r="H82">
        <v>79.664000000000001</v>
      </c>
      <c r="I82">
        <v>5.5380000000000003</v>
      </c>
      <c r="J82">
        <v>8.1379999999999999</v>
      </c>
      <c r="K82">
        <v>54482.714</v>
      </c>
      <c r="L82">
        <v>20.989000000000001</v>
      </c>
      <c r="M82">
        <f t="shared" si="13"/>
        <v>2.2605555555555552E-6</v>
      </c>
      <c r="N82">
        <v>282.18088499999993</v>
      </c>
      <c r="O82">
        <v>354.13184999999999</v>
      </c>
      <c r="P82">
        <v>911.07001999999989</v>
      </c>
      <c r="Q82">
        <v>717.34042799999997</v>
      </c>
      <c r="R82">
        <f t="shared" si="14"/>
        <v>1.7399519162777544</v>
      </c>
      <c r="S82">
        <v>1.6798180450851996</v>
      </c>
      <c r="T82">
        <v>71.950965000000053</v>
      </c>
      <c r="U82">
        <v>193.72959199999991</v>
      </c>
      <c r="V82">
        <v>556.9381699999999</v>
      </c>
      <c r="W82">
        <v>0.21865735472934075</v>
      </c>
      <c r="X82">
        <f t="shared" si="15"/>
        <v>0.67241355234428657</v>
      </c>
      <c r="Y82">
        <f t="shared" si="16"/>
        <v>1.7496811638511471</v>
      </c>
      <c r="AA82" s="3">
        <f t="shared" si="17"/>
        <v>724.17213091603196</v>
      </c>
      <c r="AB82" s="6">
        <f t="shared" si="18"/>
        <v>710.66935081637155</v>
      </c>
      <c r="AC82" s="3">
        <f t="shared" si="19"/>
        <v>705.8469293522071</v>
      </c>
      <c r="AD82">
        <f t="shared" si="20"/>
        <v>443.86481441356568</v>
      </c>
      <c r="AE82">
        <f t="shared" si="21"/>
        <v>1.2609341877634561</v>
      </c>
      <c r="AF82">
        <f t="shared" si="22"/>
        <v>4.3139009816413589E-2</v>
      </c>
      <c r="AG82">
        <f t="shared" si="23"/>
        <v>4.4879637594191363E-2</v>
      </c>
      <c r="AH82">
        <f t="shared" si="24"/>
        <v>4.0349275173105645E-2</v>
      </c>
      <c r="AI82" s="7">
        <f t="shared" si="25"/>
        <v>447.63880406672575</v>
      </c>
    </row>
    <row r="83" spans="1:35" x14ac:dyDescent="0.25">
      <c r="A83">
        <v>102.78</v>
      </c>
      <c r="B83">
        <v>7.5419999999999998</v>
      </c>
      <c r="C83">
        <v>79.058999999999997</v>
      </c>
      <c r="D83">
        <v>519.84900000000005</v>
      </c>
      <c r="E83">
        <v>350.916</v>
      </c>
      <c r="F83">
        <v>2.5750000000000002</v>
      </c>
      <c r="G83">
        <v>81.305000000000007</v>
      </c>
      <c r="H83">
        <v>79.965999999999994</v>
      </c>
      <c r="I83">
        <v>5.45</v>
      </c>
      <c r="J83">
        <v>7.0709999999999997</v>
      </c>
      <c r="K83">
        <v>54453.826000000001</v>
      </c>
      <c r="L83">
        <v>20.588000000000001</v>
      </c>
      <c r="M83">
        <f t="shared" si="13"/>
        <v>1.9641666666666668E-6</v>
      </c>
      <c r="N83">
        <v>282.09545999999995</v>
      </c>
      <c r="O83">
        <v>353.97004499999991</v>
      </c>
      <c r="P83">
        <v>910.36285199999998</v>
      </c>
      <c r="Q83">
        <v>716.42776800000001</v>
      </c>
      <c r="R83">
        <f t="shared" si="14"/>
        <v>1.7422106999764317</v>
      </c>
      <c r="S83">
        <v>1.6839467645709041</v>
      </c>
      <c r="T83">
        <v>71.874584999999968</v>
      </c>
      <c r="U83">
        <v>193.93508399999996</v>
      </c>
      <c r="V83">
        <v>556.39280700000006</v>
      </c>
      <c r="W83">
        <v>0.21937828358733613</v>
      </c>
      <c r="X83">
        <f t="shared" si="15"/>
        <v>0.67462890456948899</v>
      </c>
      <c r="Y83">
        <f t="shared" si="16"/>
        <v>1.7451641242783249</v>
      </c>
      <c r="AA83" s="3">
        <f t="shared" si="17"/>
        <v>723.30254090604615</v>
      </c>
      <c r="AB83" s="6">
        <f t="shared" si="18"/>
        <v>709.75045163777736</v>
      </c>
      <c r="AC83" s="3">
        <f t="shared" si="19"/>
        <v>704.91041975625285</v>
      </c>
      <c r="AD83">
        <f t="shared" si="20"/>
        <v>443.54424915710126</v>
      </c>
      <c r="AE83">
        <f t="shared" si="21"/>
        <v>1.2609341877634561</v>
      </c>
      <c r="AF83">
        <f t="shared" si="22"/>
        <v>4.3139009816413589E-2</v>
      </c>
      <c r="AG83">
        <f t="shared" si="23"/>
        <v>4.4651418149746921E-2</v>
      </c>
      <c r="AH83">
        <f t="shared" si="24"/>
        <v>3.5058948728069562E-2</v>
      </c>
      <c r="AI83" s="7">
        <f t="shared" si="25"/>
        <v>449.10876174226587</v>
      </c>
    </row>
    <row r="84" spans="1:35" x14ac:dyDescent="0.25">
      <c r="A84">
        <v>103.78</v>
      </c>
      <c r="B84">
        <v>7.5339999999999998</v>
      </c>
      <c r="C84">
        <v>79</v>
      </c>
      <c r="D84">
        <v>518.40099999999995</v>
      </c>
      <c r="E84">
        <v>351.005</v>
      </c>
      <c r="F84">
        <v>2.5960000000000001</v>
      </c>
      <c r="G84">
        <v>81.516999999999996</v>
      </c>
      <c r="H84">
        <v>80.085999999999999</v>
      </c>
      <c r="I84">
        <v>5.4349999999999996</v>
      </c>
      <c r="J84">
        <v>7.694</v>
      </c>
      <c r="K84">
        <v>54444.186000000002</v>
      </c>
      <c r="L84">
        <v>21.071000000000002</v>
      </c>
      <c r="M84">
        <f t="shared" si="13"/>
        <v>2.1372222222222225E-6</v>
      </c>
      <c r="N84">
        <v>282.08741999999995</v>
      </c>
      <c r="O84">
        <v>353.91074999999995</v>
      </c>
      <c r="P84">
        <v>908.7005479999998</v>
      </c>
      <c r="Q84">
        <v>716.5299399999999</v>
      </c>
      <c r="R84">
        <f t="shared" si="14"/>
        <v>1.7438640476549538</v>
      </c>
      <c r="S84">
        <v>1.6852802129710378</v>
      </c>
      <c r="T84">
        <v>71.823329999999999</v>
      </c>
      <c r="U84">
        <v>192.1706079999999</v>
      </c>
      <c r="V84">
        <v>554.78979799999979</v>
      </c>
      <c r="W84">
        <v>0.21692410068434595</v>
      </c>
      <c r="X84">
        <f t="shared" si="15"/>
        <v>0.67633863010609718</v>
      </c>
      <c r="Y84">
        <f t="shared" si="16"/>
        <v>1.7299894891903007</v>
      </c>
      <c r="AA84" s="3">
        <f t="shared" si="17"/>
        <v>721.88287730151455</v>
      </c>
      <c r="AB84" s="6">
        <f t="shared" si="18"/>
        <v>708.33629788792018</v>
      </c>
      <c r="AC84" s="3">
        <f t="shared" si="19"/>
        <v>703.4982338116364</v>
      </c>
      <c r="AD84">
        <f t="shared" si="20"/>
        <v>439.63650889190814</v>
      </c>
      <c r="AE84">
        <f t="shared" si="21"/>
        <v>1.2609341877634561</v>
      </c>
      <c r="AF84">
        <f t="shared" si="22"/>
        <v>4.3139009816413589E-2</v>
      </c>
      <c r="AG84">
        <f t="shared" si="23"/>
        <v>4.4784670927524702E-2</v>
      </c>
      <c r="AH84">
        <f t="shared" si="24"/>
        <v>3.8147864731122499E-2</v>
      </c>
      <c r="AI84" s="7">
        <f t="shared" si="25"/>
        <v>444.55259046281219</v>
      </c>
    </row>
    <row r="85" spans="1:35" x14ac:dyDescent="0.25">
      <c r="A85">
        <v>104.78</v>
      </c>
      <c r="B85">
        <v>7.5940000000000003</v>
      </c>
      <c r="C85">
        <v>79.034999999999997</v>
      </c>
      <c r="D85">
        <v>519.05499999999995</v>
      </c>
      <c r="E85">
        <v>351.01400000000001</v>
      </c>
      <c r="F85">
        <v>2.5819999999999999</v>
      </c>
      <c r="G85">
        <v>81.680999999999997</v>
      </c>
      <c r="H85">
        <v>80.304000000000002</v>
      </c>
      <c r="I85">
        <v>5.4729999999999999</v>
      </c>
      <c r="J85">
        <v>8.4039999999999999</v>
      </c>
      <c r="K85">
        <v>54420.917999999998</v>
      </c>
      <c r="L85">
        <v>20.49</v>
      </c>
      <c r="M85">
        <f t="shared" si="13"/>
        <v>2.3344444444444444E-6</v>
      </c>
      <c r="N85">
        <v>282.14771999999994</v>
      </c>
      <c r="O85">
        <v>353.94592499999993</v>
      </c>
      <c r="P85">
        <v>909.45133999999985</v>
      </c>
      <c r="Q85">
        <v>716.54027199999996</v>
      </c>
      <c r="R85">
        <f t="shared" si="14"/>
        <v>1.7456401651552571</v>
      </c>
      <c r="S85">
        <v>1.6866930340543071</v>
      </c>
      <c r="T85">
        <v>71.798204999999996</v>
      </c>
      <c r="U85">
        <v>192.91106799999989</v>
      </c>
      <c r="V85">
        <v>555.50541499999986</v>
      </c>
      <c r="W85">
        <v>0.21802283061453132</v>
      </c>
      <c r="X85">
        <f t="shared" si="15"/>
        <v>0.67805991877049154</v>
      </c>
      <c r="Y85">
        <f t="shared" si="16"/>
        <v>1.7326176021417605</v>
      </c>
      <c r="AA85" s="3">
        <f t="shared" si="17"/>
        <v>722.37451931549128</v>
      </c>
      <c r="AB85" s="6">
        <f t="shared" si="18"/>
        <v>708.7963702935034</v>
      </c>
      <c r="AC85" s="3">
        <f t="shared" si="19"/>
        <v>703.94703135707925</v>
      </c>
      <c r="AD85">
        <f t="shared" si="20"/>
        <v>440.8127972210923</v>
      </c>
      <c r="AE85">
        <f t="shared" si="21"/>
        <v>1.2609341877634561</v>
      </c>
      <c r="AF85">
        <f t="shared" si="22"/>
        <v>4.3139009816413589E-2</v>
      </c>
      <c r="AG85">
        <f t="shared" si="23"/>
        <v>4.4936532038635811E-2</v>
      </c>
      <c r="AH85">
        <f t="shared" si="24"/>
        <v>4.1668138185645104E-2</v>
      </c>
      <c r="AI85" s="7">
        <f t="shared" si="25"/>
        <v>443.66968752398481</v>
      </c>
    </row>
    <row r="86" spans="1:35" x14ac:dyDescent="0.25">
      <c r="A86">
        <v>105.78</v>
      </c>
      <c r="B86">
        <v>7.7110000000000003</v>
      </c>
      <c r="C86">
        <v>78.988</v>
      </c>
      <c r="D86">
        <v>522.88400000000001</v>
      </c>
      <c r="E86">
        <v>351.31900000000002</v>
      </c>
      <c r="F86">
        <v>2.577</v>
      </c>
      <c r="G86">
        <v>81.661000000000001</v>
      </c>
      <c r="H86">
        <v>80.31</v>
      </c>
      <c r="I86">
        <v>5.2779999999999996</v>
      </c>
      <c r="J86">
        <v>7.9859999999999998</v>
      </c>
      <c r="K86">
        <v>54435.872000000003</v>
      </c>
      <c r="L86">
        <v>20.66</v>
      </c>
      <c r="M86">
        <f t="shared" si="13"/>
        <v>2.2183333333333334E-6</v>
      </c>
      <c r="N86">
        <v>282.26530499999996</v>
      </c>
      <c r="O86">
        <v>353.89868999999993</v>
      </c>
      <c r="P86">
        <v>913.8470319999999</v>
      </c>
      <c r="Q86">
        <v>716.89041199999997</v>
      </c>
      <c r="R86">
        <f t="shared" si="14"/>
        <v>1.745533904616458</v>
      </c>
      <c r="S86">
        <v>1.6897718288624537</v>
      </c>
      <c r="T86">
        <v>71.633384999999976</v>
      </c>
      <c r="U86">
        <v>196.95661999999993</v>
      </c>
      <c r="V86">
        <v>559.94834199999991</v>
      </c>
      <c r="W86">
        <v>0.22381213694173233</v>
      </c>
      <c r="X86">
        <f t="shared" si="15"/>
        <v>0.67982292818079315</v>
      </c>
      <c r="Y86">
        <f t="shared" si="16"/>
        <v>1.7547146194206338</v>
      </c>
      <c r="AA86" s="3">
        <f t="shared" si="17"/>
        <v>725.63691170265304</v>
      </c>
      <c r="AB86" s="6">
        <f t="shared" si="18"/>
        <v>711.9485889781688</v>
      </c>
      <c r="AC86" s="3">
        <f t="shared" si="19"/>
        <v>707.05990229085307</v>
      </c>
      <c r="AD86">
        <f t="shared" si="20"/>
        <v>448.16641584781365</v>
      </c>
      <c r="AE86">
        <f t="shared" si="21"/>
        <v>1.2609341877634561</v>
      </c>
      <c r="AF86">
        <f t="shared" si="22"/>
        <v>4.3139009816413589E-2</v>
      </c>
      <c r="AG86">
        <f t="shared" si="23"/>
        <v>4.4847126483080257E-2</v>
      </c>
      <c r="AH86">
        <f t="shared" si="24"/>
        <v>3.959563916594025E-2</v>
      </c>
      <c r="AI86" s="7">
        <f t="shared" si="25"/>
        <v>451.75686012859211</v>
      </c>
    </row>
    <row r="87" spans="1:35" x14ac:dyDescent="0.25">
      <c r="A87">
        <v>106.78</v>
      </c>
      <c r="B87">
        <v>7.8680000000000003</v>
      </c>
      <c r="C87">
        <v>78.981999999999999</v>
      </c>
      <c r="D87">
        <v>523.93100000000004</v>
      </c>
      <c r="E87">
        <v>351.036</v>
      </c>
      <c r="F87">
        <v>2.5680000000000001</v>
      </c>
      <c r="G87">
        <v>81.548000000000002</v>
      </c>
      <c r="H87">
        <v>80.084000000000003</v>
      </c>
      <c r="I87">
        <v>5.5030000000000001</v>
      </c>
      <c r="J87">
        <v>7.23</v>
      </c>
      <c r="K87">
        <v>54467.502</v>
      </c>
      <c r="L87">
        <v>20.555</v>
      </c>
      <c r="M87">
        <f t="shared" si="13"/>
        <v>2.0083333333333333E-6</v>
      </c>
      <c r="N87">
        <v>282.42308999999995</v>
      </c>
      <c r="O87">
        <v>353.89265999999992</v>
      </c>
      <c r="P87">
        <v>915.04898799999989</v>
      </c>
      <c r="Q87">
        <v>716.56552799999986</v>
      </c>
      <c r="R87">
        <f t="shared" si="14"/>
        <v>1.7446166610099183</v>
      </c>
      <c r="S87">
        <v>1.6842105263157896</v>
      </c>
      <c r="T87">
        <v>71.469569999999976</v>
      </c>
      <c r="U87">
        <v>198.48346000000004</v>
      </c>
      <c r="V87">
        <v>561.15632800000003</v>
      </c>
      <c r="W87">
        <v>0.22634314835704758</v>
      </c>
      <c r="X87">
        <f t="shared" si="15"/>
        <v>0.68106625646295393</v>
      </c>
      <c r="Y87">
        <f t="shared" si="16"/>
        <v>1.7764468136056264</v>
      </c>
      <c r="AA87" s="3">
        <f t="shared" si="17"/>
        <v>727.00606218222435</v>
      </c>
      <c r="AB87" s="6">
        <f t="shared" si="18"/>
        <v>713.3803798287679</v>
      </c>
      <c r="AC87" s="3">
        <f t="shared" si="19"/>
        <v>708.51406470253346</v>
      </c>
      <c r="AD87">
        <f t="shared" si="20"/>
        <v>452.53761842177414</v>
      </c>
      <c r="AE87">
        <f t="shared" si="21"/>
        <v>1.2609341877634561</v>
      </c>
      <c r="AF87">
        <f t="shared" si="22"/>
        <v>4.3139009816413589E-2</v>
      </c>
      <c r="AG87">
        <f t="shared" si="23"/>
        <v>4.4685426483080257E-2</v>
      </c>
      <c r="AH87">
        <f t="shared" si="24"/>
        <v>3.5847291656617576E-2</v>
      </c>
      <c r="AI87" s="7">
        <f t="shared" si="25"/>
        <v>457.43176944932333</v>
      </c>
    </row>
    <row r="88" spans="1:35" x14ac:dyDescent="0.25">
      <c r="A88">
        <v>107.78</v>
      </c>
      <c r="B88">
        <v>7.7629999999999999</v>
      </c>
      <c r="C88">
        <v>78.954999999999998</v>
      </c>
      <c r="D88">
        <v>521.64499999999998</v>
      </c>
      <c r="E88">
        <v>350.947</v>
      </c>
      <c r="F88">
        <v>2.589</v>
      </c>
      <c r="G88">
        <v>80.905000000000001</v>
      </c>
      <c r="H88">
        <v>79.676000000000002</v>
      </c>
      <c r="I88">
        <v>5.258</v>
      </c>
      <c r="J88">
        <v>7.9109999999999996</v>
      </c>
      <c r="K88">
        <v>54439.398000000001</v>
      </c>
      <c r="L88">
        <v>20.428999999999998</v>
      </c>
      <c r="M88">
        <f t="shared" si="13"/>
        <v>2.1974999999999997E-6</v>
      </c>
      <c r="N88">
        <v>282.31756499999995</v>
      </c>
      <c r="O88">
        <v>353.86552499999993</v>
      </c>
      <c r="P88">
        <v>912.4246599999999</v>
      </c>
      <c r="Q88">
        <v>716.46335599999998</v>
      </c>
      <c r="R88">
        <f t="shared" si="14"/>
        <v>1.7382103705379446</v>
      </c>
      <c r="S88">
        <v>1.6842531124147189</v>
      </c>
      <c r="T88">
        <v>71.547959999999989</v>
      </c>
      <c r="U88">
        <v>195.96130399999993</v>
      </c>
      <c r="V88">
        <v>558.55913499999997</v>
      </c>
      <c r="W88">
        <v>0.22273978922571905</v>
      </c>
      <c r="X88">
        <f t="shared" si="15"/>
        <v>0.67520619539291926</v>
      </c>
      <c r="Y88">
        <f t="shared" si="16"/>
        <v>1.7588379022343894</v>
      </c>
      <c r="AA88" s="3">
        <f t="shared" si="17"/>
        <v>724.9178613257269</v>
      </c>
      <c r="AB88" s="6">
        <f t="shared" si="18"/>
        <v>711.33063991684048</v>
      </c>
      <c r="AC88" s="3">
        <f t="shared" si="19"/>
        <v>706.47806084223816</v>
      </c>
      <c r="AD88">
        <f t="shared" si="20"/>
        <v>447.53596196179114</v>
      </c>
      <c r="AE88">
        <f t="shared" si="21"/>
        <v>1.2609341877634561</v>
      </c>
      <c r="AF88">
        <f t="shared" si="22"/>
        <v>4.3139009816413589E-2</v>
      </c>
      <c r="AG88">
        <f t="shared" si="23"/>
        <v>4.483108481641359E-2</v>
      </c>
      <c r="AH88">
        <f t="shared" si="24"/>
        <v>3.9223779293983629E-2</v>
      </c>
      <c r="AI88" s="7">
        <f t="shared" si="25"/>
        <v>451.07345875731704</v>
      </c>
    </row>
    <row r="89" spans="1:35" x14ac:dyDescent="0.25">
      <c r="A89">
        <v>108.78</v>
      </c>
      <c r="B89">
        <v>7.5810000000000004</v>
      </c>
      <c r="C89">
        <v>78.995000000000005</v>
      </c>
      <c r="D89">
        <v>522.947</v>
      </c>
      <c r="E89">
        <v>351.21899999999999</v>
      </c>
      <c r="F89">
        <v>2.5390000000000001</v>
      </c>
      <c r="G89">
        <v>81.387</v>
      </c>
      <c r="H89">
        <v>79.980999999999995</v>
      </c>
      <c r="I89">
        <v>5.44</v>
      </c>
      <c r="J89">
        <v>6.89</v>
      </c>
      <c r="K89">
        <v>54416.705000000002</v>
      </c>
      <c r="L89">
        <v>20.89</v>
      </c>
      <c r="M89">
        <f t="shared" si="13"/>
        <v>1.9138888888888886E-6</v>
      </c>
      <c r="N89">
        <v>282.13465499999995</v>
      </c>
      <c r="O89">
        <v>353.90572499999996</v>
      </c>
      <c r="P89">
        <v>913.91935599999988</v>
      </c>
      <c r="Q89">
        <v>716.7756119999998</v>
      </c>
      <c r="R89">
        <f t="shared" si="14"/>
        <v>1.743575476947161</v>
      </c>
      <c r="S89">
        <v>1.6842390306590784</v>
      </c>
      <c r="T89">
        <v>71.771070000000009</v>
      </c>
      <c r="U89">
        <v>197.14374400000008</v>
      </c>
      <c r="V89">
        <v>560.01363099999992</v>
      </c>
      <c r="W89">
        <v>0.22387432565904827</v>
      </c>
      <c r="X89">
        <f t="shared" si="15"/>
        <v>0.67672656393719421</v>
      </c>
      <c r="Y89">
        <f t="shared" si="16"/>
        <v>1.7665834428148752</v>
      </c>
      <c r="AA89" s="3">
        <f t="shared" si="17"/>
        <v>726.10644251861356</v>
      </c>
      <c r="AB89" s="6">
        <f t="shared" si="18"/>
        <v>712.4971674527884</v>
      </c>
      <c r="AC89" s="3">
        <f t="shared" si="19"/>
        <v>707.63671207213656</v>
      </c>
      <c r="AD89">
        <f t="shared" si="20"/>
        <v>449.82471305120885</v>
      </c>
      <c r="AE89">
        <f t="shared" si="21"/>
        <v>1.2609341877634561</v>
      </c>
      <c r="AF89">
        <f t="shared" si="22"/>
        <v>4.3139009816413589E-2</v>
      </c>
      <c r="AG89">
        <f t="shared" si="23"/>
        <v>4.4612704260858033E-2</v>
      </c>
      <c r="AH89">
        <f t="shared" si="24"/>
        <v>3.4161526903747588E-2</v>
      </c>
      <c r="AI89" s="7">
        <f t="shared" si="25"/>
        <v>455.85562321165844</v>
      </c>
    </row>
    <row r="90" spans="1:35" x14ac:dyDescent="0.25">
      <c r="A90">
        <v>109.78</v>
      </c>
      <c r="B90">
        <v>7.5830000000000002</v>
      </c>
      <c r="C90">
        <v>78.968000000000004</v>
      </c>
      <c r="D90">
        <v>524.66200000000003</v>
      </c>
      <c r="E90">
        <v>351.02600000000001</v>
      </c>
      <c r="F90">
        <v>2.5609999999999999</v>
      </c>
      <c r="G90">
        <v>81.667000000000002</v>
      </c>
      <c r="H90">
        <v>80.222999999999999</v>
      </c>
      <c r="I90">
        <v>5.3940000000000001</v>
      </c>
      <c r="J90">
        <v>8.1769999999999996</v>
      </c>
      <c r="K90">
        <v>54425.722000000002</v>
      </c>
      <c r="L90">
        <v>20.225999999999999</v>
      </c>
      <c r="M90">
        <f t="shared" si="13"/>
        <v>2.271388888888889E-6</v>
      </c>
      <c r="N90">
        <v>282.13666499999999</v>
      </c>
      <c r="O90">
        <v>353.87858999999997</v>
      </c>
      <c r="P90">
        <v>915.88817599999993</v>
      </c>
      <c r="Q90">
        <v>716.55404799999985</v>
      </c>
      <c r="R90">
        <f t="shared" si="14"/>
        <v>1.7458538011144529</v>
      </c>
      <c r="S90">
        <v>1.6871728469888148</v>
      </c>
      <c r="T90">
        <v>71.741924999999981</v>
      </c>
      <c r="U90">
        <v>199.33412800000008</v>
      </c>
      <c r="V90">
        <v>562.0095859999999</v>
      </c>
      <c r="W90">
        <v>0.2270285172680313</v>
      </c>
      <c r="X90">
        <f t="shared" si="15"/>
        <v>0.67872648508214584</v>
      </c>
      <c r="Y90">
        <f t="shared" si="16"/>
        <v>1.7768187089737661</v>
      </c>
      <c r="AA90" s="3">
        <f t="shared" si="17"/>
        <v>727.45146216425962</v>
      </c>
      <c r="AB90" s="6">
        <f t="shared" si="18"/>
        <v>713.77024647397684</v>
      </c>
      <c r="AC90" s="3">
        <f t="shared" si="19"/>
        <v>708.88409801316152</v>
      </c>
      <c r="AD90">
        <f t="shared" si="20"/>
        <v>453.55086804486547</v>
      </c>
      <c r="AE90">
        <f t="shared" si="21"/>
        <v>1.2609341877634561</v>
      </c>
      <c r="AF90">
        <f t="shared" si="22"/>
        <v>4.3139009816413589E-2</v>
      </c>
      <c r="AG90">
        <f t="shared" si="23"/>
        <v>4.4887979260858031E-2</v>
      </c>
      <c r="AH90">
        <f t="shared" si="24"/>
        <v>4.0542642306523095E-2</v>
      </c>
      <c r="AI90" s="7">
        <f t="shared" si="25"/>
        <v>456.10517458096678</v>
      </c>
    </row>
    <row r="91" spans="1:35" x14ac:dyDescent="0.25">
      <c r="A91">
        <v>110.78</v>
      </c>
      <c r="B91">
        <v>7.6479999999999997</v>
      </c>
      <c r="C91">
        <v>79.051000000000002</v>
      </c>
      <c r="D91">
        <v>524.24800000000005</v>
      </c>
      <c r="E91">
        <v>350.47399999999999</v>
      </c>
      <c r="F91">
        <v>2.5539999999999998</v>
      </c>
      <c r="G91">
        <v>81.430999999999997</v>
      </c>
      <c r="H91">
        <v>79.858999999999995</v>
      </c>
      <c r="I91">
        <v>5.2880000000000003</v>
      </c>
      <c r="J91">
        <v>7.76</v>
      </c>
      <c r="K91">
        <v>54435.305999999997</v>
      </c>
      <c r="L91">
        <v>20.649000000000001</v>
      </c>
      <c r="M91">
        <f t="shared" si="13"/>
        <v>2.1555555555555553E-6</v>
      </c>
      <c r="N91">
        <v>282.20198999999997</v>
      </c>
      <c r="O91">
        <v>353.96200499999992</v>
      </c>
      <c r="P91">
        <v>915.41290399999991</v>
      </c>
      <c r="Q91">
        <v>715.92035199999998</v>
      </c>
      <c r="R91">
        <f t="shared" si="14"/>
        <v>1.743743753182341</v>
      </c>
      <c r="S91">
        <v>1.6854708239879397</v>
      </c>
      <c r="T91">
        <v>71.760014999999953</v>
      </c>
      <c r="U91">
        <v>199.49255199999993</v>
      </c>
      <c r="V91">
        <v>561.45089899999994</v>
      </c>
      <c r="W91">
        <v>0.22750437701231643</v>
      </c>
      <c r="X91">
        <f t="shared" si="15"/>
        <v>0.67711945550137032</v>
      </c>
      <c r="Y91">
        <f t="shared" si="16"/>
        <v>1.7823740527943766</v>
      </c>
      <c r="AA91" s="3">
        <f t="shared" si="17"/>
        <v>727.20101760798013</v>
      </c>
      <c r="AB91" s="6">
        <f t="shared" si="18"/>
        <v>713.55160436508731</v>
      </c>
      <c r="AC91" s="3">
        <f t="shared" si="19"/>
        <v>708.67681392119709</v>
      </c>
      <c r="AD91">
        <f t="shared" si="20"/>
        <v>454.39385957805416</v>
      </c>
      <c r="AE91">
        <f t="shared" si="21"/>
        <v>1.2609341877634561</v>
      </c>
      <c r="AF91">
        <f t="shared" si="22"/>
        <v>4.3139009816413589E-2</v>
      </c>
      <c r="AG91">
        <f t="shared" si="23"/>
        <v>4.4798787594191369E-2</v>
      </c>
      <c r="AH91">
        <f t="shared" si="24"/>
        <v>3.8475101418444312E-2</v>
      </c>
      <c r="AI91" s="7">
        <f t="shared" si="25"/>
        <v>458.20774258073345</v>
      </c>
    </row>
    <row r="92" spans="1:35" x14ac:dyDescent="0.25">
      <c r="A92">
        <v>111.78</v>
      </c>
      <c r="B92">
        <v>7.67</v>
      </c>
      <c r="C92">
        <v>78.971999999999994</v>
      </c>
      <c r="D92">
        <v>525.69399999999996</v>
      </c>
      <c r="E92">
        <v>351</v>
      </c>
      <c r="F92">
        <v>2.548</v>
      </c>
      <c r="G92">
        <v>81.254000000000005</v>
      </c>
      <c r="H92">
        <v>79.795000000000002</v>
      </c>
      <c r="I92">
        <v>5.3849999999999998</v>
      </c>
      <c r="J92">
        <v>8.2520000000000007</v>
      </c>
      <c r="K92">
        <v>54419.398000000001</v>
      </c>
      <c r="L92">
        <v>20.417999999999999</v>
      </c>
      <c r="M92">
        <f t="shared" si="13"/>
        <v>2.2922222222222223E-6</v>
      </c>
      <c r="N92">
        <v>282.22409999999996</v>
      </c>
      <c r="O92">
        <v>353.88260999999994</v>
      </c>
      <c r="P92">
        <v>917.07291199999986</v>
      </c>
      <c r="Q92">
        <v>716.52419999999995</v>
      </c>
      <c r="R92">
        <f t="shared" si="14"/>
        <v>1.7421733554616778</v>
      </c>
      <c r="S92">
        <v>1.683381549341048</v>
      </c>
      <c r="T92">
        <v>71.658509999999978</v>
      </c>
      <c r="U92">
        <v>200.54871199999991</v>
      </c>
      <c r="V92">
        <v>563.19030199999997</v>
      </c>
      <c r="W92">
        <v>0.22885728241819039</v>
      </c>
      <c r="X92">
        <f t="shared" si="15"/>
        <v>0.67694344475170598</v>
      </c>
      <c r="Y92">
        <f t="shared" si="16"/>
        <v>1.7925549141076293</v>
      </c>
      <c r="AA92" s="3">
        <f t="shared" si="17"/>
        <v>728.67617472999109</v>
      </c>
      <c r="AB92" s="6">
        <f t="shared" si="18"/>
        <v>715.03243092748926</v>
      </c>
      <c r="AC92" s="3">
        <f t="shared" si="19"/>
        <v>710.1596652837386</v>
      </c>
      <c r="AD92">
        <f t="shared" si="20"/>
        <v>456.79980452000564</v>
      </c>
      <c r="AE92">
        <f t="shared" si="21"/>
        <v>1.2609341877634561</v>
      </c>
      <c r="AF92">
        <f t="shared" si="22"/>
        <v>4.3139009816413589E-2</v>
      </c>
      <c r="AG92">
        <f t="shared" si="23"/>
        <v>4.4904020927524699E-2</v>
      </c>
      <c r="AH92">
        <f t="shared" si="24"/>
        <v>4.0914502178479702E-2</v>
      </c>
      <c r="AI92" s="7">
        <f t="shared" si="25"/>
        <v>459.26269239691771</v>
      </c>
    </row>
    <row r="93" spans="1:35" x14ac:dyDescent="0.25">
      <c r="A93">
        <v>112.78</v>
      </c>
      <c r="B93">
        <v>7.5990000000000002</v>
      </c>
      <c r="C93">
        <v>78.944000000000003</v>
      </c>
      <c r="D93">
        <v>526.65200000000004</v>
      </c>
      <c r="E93">
        <v>350.69499999999999</v>
      </c>
      <c r="F93">
        <v>2.5630000000000002</v>
      </c>
      <c r="G93">
        <v>81.247</v>
      </c>
      <c r="H93">
        <v>79.884</v>
      </c>
      <c r="I93">
        <v>5.3730000000000002</v>
      </c>
      <c r="J93">
        <v>7.57</v>
      </c>
      <c r="K93">
        <v>54430.769</v>
      </c>
      <c r="L93">
        <v>20.181999999999999</v>
      </c>
      <c r="M93">
        <f t="shared" si="13"/>
        <v>2.102777777777778E-6</v>
      </c>
      <c r="N93">
        <v>282.15274499999992</v>
      </c>
      <c r="O93">
        <v>353.85446999999994</v>
      </c>
      <c r="P93">
        <v>918.17269599999997</v>
      </c>
      <c r="Q93">
        <v>716.17405999999994</v>
      </c>
      <c r="R93">
        <f t="shared" si="14"/>
        <v>1.7418609694238332</v>
      </c>
      <c r="S93">
        <v>1.6843845581549146</v>
      </c>
      <c r="T93">
        <v>71.70172500000001</v>
      </c>
      <c r="U93">
        <v>201.99863600000003</v>
      </c>
      <c r="V93">
        <v>564.3182260000001</v>
      </c>
      <c r="W93">
        <v>0.23089261518907597</v>
      </c>
      <c r="X93">
        <f t="shared" si="15"/>
        <v>0.67612813409987127</v>
      </c>
      <c r="Y93">
        <f t="shared" si="16"/>
        <v>1.8014230107106455</v>
      </c>
      <c r="AA93" s="3">
        <f t="shared" si="17"/>
        <v>729.47479797873666</v>
      </c>
      <c r="AB93" s="6">
        <f t="shared" si="18"/>
        <v>715.80006425237991</v>
      </c>
      <c r="AC93" s="3">
        <f t="shared" si="19"/>
        <v>710.91623077868098</v>
      </c>
      <c r="AD93">
        <f t="shared" si="20"/>
        <v>459.48757058647868</v>
      </c>
      <c r="AE93">
        <f t="shared" si="21"/>
        <v>1.2609341877634561</v>
      </c>
      <c r="AF93">
        <f t="shared" si="22"/>
        <v>4.3139009816413589E-2</v>
      </c>
      <c r="AG93">
        <f t="shared" si="23"/>
        <v>4.4758148705302481E-2</v>
      </c>
      <c r="AH93">
        <f t="shared" si="24"/>
        <v>3.7533056409487571E-2</v>
      </c>
      <c r="AI93" s="7">
        <f t="shared" si="25"/>
        <v>463.04747570502735</v>
      </c>
    </row>
    <row r="94" spans="1:35" x14ac:dyDescent="0.25">
      <c r="A94">
        <v>113.78</v>
      </c>
      <c r="B94">
        <v>7.5880000000000001</v>
      </c>
      <c r="C94">
        <v>78.962000000000003</v>
      </c>
      <c r="D94">
        <v>527.34799999999996</v>
      </c>
      <c r="E94">
        <v>351.14</v>
      </c>
      <c r="F94">
        <v>2.5179999999999998</v>
      </c>
      <c r="G94">
        <v>81.186999999999998</v>
      </c>
      <c r="H94">
        <v>79.822999999999993</v>
      </c>
      <c r="I94">
        <v>5.4420000000000002</v>
      </c>
      <c r="J94">
        <v>7.95</v>
      </c>
      <c r="K94">
        <v>54432.822999999997</v>
      </c>
      <c r="L94">
        <v>20.501000000000001</v>
      </c>
      <c r="M94">
        <f t="shared" si="13"/>
        <v>2.2083333333333335E-6</v>
      </c>
      <c r="N94">
        <v>282.14168999999998</v>
      </c>
      <c r="O94">
        <v>353.87255999999991</v>
      </c>
      <c r="P94">
        <v>918.97170399999982</v>
      </c>
      <c r="Q94">
        <v>716.68491999999992</v>
      </c>
      <c r="R94">
        <f t="shared" si="14"/>
        <v>1.7420343715218172</v>
      </c>
      <c r="S94">
        <v>1.6827577977272308</v>
      </c>
      <c r="T94">
        <v>71.730869999999925</v>
      </c>
      <c r="U94">
        <v>202.2867839999999</v>
      </c>
      <c r="V94">
        <v>565.09914399999991</v>
      </c>
      <c r="W94">
        <v>0.23103187358570834</v>
      </c>
      <c r="X94">
        <f t="shared" si="15"/>
        <v>0.67595802865471577</v>
      </c>
      <c r="Y94">
        <f t="shared" si="16"/>
        <v>1.805557456855484</v>
      </c>
      <c r="AA94" s="3">
        <f t="shared" si="17"/>
        <v>730.23174537692455</v>
      </c>
      <c r="AB94" s="6">
        <f t="shared" si="18"/>
        <v>716.56886253354878</v>
      </c>
      <c r="AC94" s="3">
        <f t="shared" si="19"/>
        <v>711.68926151805738</v>
      </c>
      <c r="AD94">
        <f t="shared" si="20"/>
        <v>460.29584875059226</v>
      </c>
      <c r="AE94">
        <f t="shared" si="21"/>
        <v>1.2609341877634561</v>
      </c>
      <c r="AF94">
        <f t="shared" si="22"/>
        <v>4.3139009816413589E-2</v>
      </c>
      <c r="AG94">
        <f t="shared" si="23"/>
        <v>4.4839426483080258E-2</v>
      </c>
      <c r="AH94">
        <f t="shared" si="24"/>
        <v>3.9417146427401073E-2</v>
      </c>
      <c r="AI94" s="7">
        <f t="shared" si="25"/>
        <v>463.34134598879109</v>
      </c>
    </row>
    <row r="95" spans="1:35" x14ac:dyDescent="0.25">
      <c r="A95">
        <v>114.78</v>
      </c>
      <c r="B95">
        <v>7.681</v>
      </c>
      <c r="C95">
        <v>78.900999999999996</v>
      </c>
      <c r="D95">
        <v>528.745</v>
      </c>
      <c r="E95">
        <v>351.00299999999999</v>
      </c>
      <c r="F95">
        <v>2.5289999999999999</v>
      </c>
      <c r="G95">
        <v>81.126000000000005</v>
      </c>
      <c r="H95">
        <v>79.599999999999994</v>
      </c>
      <c r="I95">
        <v>5.2720000000000002</v>
      </c>
      <c r="J95">
        <v>8.2520000000000007</v>
      </c>
      <c r="K95">
        <v>54420.788999999997</v>
      </c>
      <c r="L95">
        <v>20.555</v>
      </c>
      <c r="M95">
        <f t="shared" si="13"/>
        <v>2.2922222222222223E-6</v>
      </c>
      <c r="N95">
        <v>282.23515499999991</v>
      </c>
      <c r="O95">
        <v>353.81125499999996</v>
      </c>
      <c r="P95">
        <v>920.57545999999991</v>
      </c>
      <c r="Q95">
        <v>716.52764400000001</v>
      </c>
      <c r="R95">
        <f t="shared" si="14"/>
        <v>1.7412783295136238</v>
      </c>
      <c r="S95">
        <v>1.6833376236531459</v>
      </c>
      <c r="T95">
        <v>71.576100000000054</v>
      </c>
      <c r="U95">
        <v>204.0478159999999</v>
      </c>
      <c r="V95">
        <v>566.76420499999995</v>
      </c>
      <c r="W95">
        <v>0.23373338476800923</v>
      </c>
      <c r="X95">
        <f t="shared" si="15"/>
        <v>0.67707100439899714</v>
      </c>
      <c r="Y95">
        <f t="shared" si="16"/>
        <v>1.8169768329943172</v>
      </c>
      <c r="AA95" s="3">
        <f t="shared" si="17"/>
        <v>731.46248942742284</v>
      </c>
      <c r="AB95" s="6">
        <f t="shared" si="18"/>
        <v>717.76727903831056</v>
      </c>
      <c r="AC95" s="3">
        <f t="shared" si="19"/>
        <v>712.87613247077047</v>
      </c>
      <c r="AD95">
        <f t="shared" si="20"/>
        <v>463.6144784969091</v>
      </c>
      <c r="AE95">
        <f t="shared" si="21"/>
        <v>1.2609341877634561</v>
      </c>
      <c r="AF95">
        <f t="shared" si="22"/>
        <v>4.3139009816413589E-2</v>
      </c>
      <c r="AG95">
        <f t="shared" si="23"/>
        <v>4.4904020927524699E-2</v>
      </c>
      <c r="AH95">
        <f t="shared" si="24"/>
        <v>4.0914502178479702E-2</v>
      </c>
      <c r="AI95" s="7">
        <f t="shared" si="25"/>
        <v>465.94650672474324</v>
      </c>
    </row>
    <row r="96" spans="1:35" x14ac:dyDescent="0.25">
      <c r="A96">
        <v>115.78</v>
      </c>
      <c r="B96">
        <v>7.8019999999999996</v>
      </c>
      <c r="C96">
        <v>78.852000000000004</v>
      </c>
      <c r="D96">
        <v>527.45500000000004</v>
      </c>
      <c r="E96">
        <v>350.262</v>
      </c>
      <c r="F96">
        <v>2.5529999999999999</v>
      </c>
      <c r="G96">
        <v>81.295000000000002</v>
      </c>
      <c r="H96">
        <v>79.864000000000004</v>
      </c>
      <c r="I96">
        <v>5.3970000000000002</v>
      </c>
      <c r="J96">
        <v>8.1769999999999996</v>
      </c>
      <c r="K96">
        <v>54408.625</v>
      </c>
      <c r="L96">
        <v>20.248000000000001</v>
      </c>
      <c r="M96">
        <f t="shared" si="13"/>
        <v>2.271388888888889E-6</v>
      </c>
      <c r="N96">
        <v>282.35675999999995</v>
      </c>
      <c r="O96">
        <v>353.76200999999992</v>
      </c>
      <c r="P96">
        <v>919.09453999999994</v>
      </c>
      <c r="Q96">
        <v>715.67697599999997</v>
      </c>
      <c r="R96">
        <f t="shared" si="14"/>
        <v>1.7424778176949263</v>
      </c>
      <c r="S96">
        <v>1.6838296739120453</v>
      </c>
      <c r="T96">
        <v>71.405249999999967</v>
      </c>
      <c r="U96">
        <v>203.41756399999997</v>
      </c>
      <c r="V96">
        <v>565.33253000000002</v>
      </c>
      <c r="W96">
        <v>0.23351267969667339</v>
      </c>
      <c r="X96">
        <f t="shared" si="15"/>
        <v>0.67989511891792964</v>
      </c>
      <c r="Y96">
        <f t="shared" si="16"/>
        <v>1.8133304161985777</v>
      </c>
      <c r="AA96" s="3">
        <f t="shared" si="17"/>
        <v>730.24884269941629</v>
      </c>
      <c r="AB96" s="6">
        <f t="shared" si="18"/>
        <v>716.56847877985842</v>
      </c>
      <c r="AC96" s="3">
        <f t="shared" si="19"/>
        <v>711.6826345228734</v>
      </c>
      <c r="AD96">
        <f t="shared" si="20"/>
        <v>462.47948633269652</v>
      </c>
      <c r="AE96">
        <f t="shared" si="21"/>
        <v>1.2609341877634561</v>
      </c>
      <c r="AF96">
        <f t="shared" si="22"/>
        <v>4.3139009816413589E-2</v>
      </c>
      <c r="AG96">
        <f t="shared" si="23"/>
        <v>4.4887979260858031E-2</v>
      </c>
      <c r="AH96">
        <f t="shared" si="24"/>
        <v>4.0542642306523095E-2</v>
      </c>
      <c r="AI96" s="7">
        <f t="shared" si="25"/>
        <v>464.70790729177565</v>
      </c>
    </row>
    <row r="97" spans="1:35" x14ac:dyDescent="0.25">
      <c r="A97">
        <v>116.78</v>
      </c>
      <c r="B97">
        <v>7.91</v>
      </c>
      <c r="C97">
        <v>78.866</v>
      </c>
      <c r="D97">
        <v>527.84299999999996</v>
      </c>
      <c r="E97">
        <v>350.42500000000001</v>
      </c>
      <c r="F97">
        <v>2.5640000000000001</v>
      </c>
      <c r="G97">
        <v>81.438999999999993</v>
      </c>
      <c r="H97">
        <v>80.073999999999998</v>
      </c>
      <c r="I97">
        <v>5.5119999999999996</v>
      </c>
      <c r="J97">
        <v>7.7320000000000002</v>
      </c>
      <c r="K97">
        <v>54426.182999999997</v>
      </c>
      <c r="L97">
        <v>20.286999999999999</v>
      </c>
      <c r="M97">
        <f t="shared" si="13"/>
        <v>2.147777777777778E-6</v>
      </c>
      <c r="N97">
        <v>282.46529999999996</v>
      </c>
      <c r="O97">
        <v>353.77607999999992</v>
      </c>
      <c r="P97">
        <v>919.53996399999983</v>
      </c>
      <c r="Q97">
        <v>715.86410000000001</v>
      </c>
      <c r="R97">
        <f t="shared" si="14"/>
        <v>1.7436547744757882</v>
      </c>
      <c r="S97">
        <v>1.6839797453491361</v>
      </c>
      <c r="T97">
        <v>71.310779999999966</v>
      </c>
      <c r="U97">
        <v>203.67586399999982</v>
      </c>
      <c r="V97">
        <v>565.76388399999996</v>
      </c>
      <c r="W97">
        <v>0.23395817185106829</v>
      </c>
      <c r="X97">
        <f t="shared" si="15"/>
        <v>0.68195316661342509</v>
      </c>
      <c r="Y97">
        <f t="shared" si="16"/>
        <v>1.8144629237240515</v>
      </c>
      <c r="AA97" s="3">
        <f t="shared" si="17"/>
        <v>730.59147328386234</v>
      </c>
      <c r="AB97" s="6">
        <f t="shared" si="18"/>
        <v>716.9022875335022</v>
      </c>
      <c r="AC97" s="3">
        <f t="shared" si="19"/>
        <v>712.01329262265938</v>
      </c>
      <c r="AD97">
        <f t="shared" si="20"/>
        <v>462.90328598630725</v>
      </c>
      <c r="AE97">
        <f t="shared" si="21"/>
        <v>1.2609341877634561</v>
      </c>
      <c r="AF97">
        <f t="shared" si="22"/>
        <v>4.3139009816413589E-2</v>
      </c>
      <c r="AG97">
        <f t="shared" si="23"/>
        <v>4.4792798705302478E-2</v>
      </c>
      <c r="AH97">
        <f t="shared" si="24"/>
        <v>3.8336273732913852E-2</v>
      </c>
      <c r="AI97" s="7">
        <f t="shared" si="25"/>
        <v>466.09949610218047</v>
      </c>
    </row>
    <row r="98" spans="1:35" x14ac:dyDescent="0.25">
      <c r="A98">
        <v>117.78</v>
      </c>
      <c r="B98">
        <v>7.8810000000000002</v>
      </c>
      <c r="C98">
        <v>78.831999999999994</v>
      </c>
      <c r="D98">
        <v>525.75800000000004</v>
      </c>
      <c r="E98">
        <v>349.98099999999999</v>
      </c>
      <c r="F98">
        <v>2.5680000000000001</v>
      </c>
      <c r="G98">
        <v>81.948999999999998</v>
      </c>
      <c r="H98">
        <v>80.507999999999996</v>
      </c>
      <c r="I98">
        <v>5.3559999999999999</v>
      </c>
      <c r="J98">
        <v>7.609</v>
      </c>
      <c r="K98">
        <v>54452.37</v>
      </c>
      <c r="L98">
        <v>20.341000000000001</v>
      </c>
      <c r="M98">
        <f t="shared" si="13"/>
        <v>2.1136111111111114E-6</v>
      </c>
      <c r="N98">
        <v>282.43615499999993</v>
      </c>
      <c r="O98">
        <v>353.74190999999996</v>
      </c>
      <c r="P98">
        <v>917.1463839999999</v>
      </c>
      <c r="Q98">
        <v>715.35438799999986</v>
      </c>
      <c r="R98">
        <f t="shared" si="14"/>
        <v>1.7483972545913944</v>
      </c>
      <c r="S98">
        <v>1.6903799514955538</v>
      </c>
      <c r="T98">
        <v>71.305755000000033</v>
      </c>
      <c r="U98">
        <v>201.79199600000004</v>
      </c>
      <c r="V98">
        <v>563.40447399999994</v>
      </c>
      <c r="W98">
        <v>0.23160313242382952</v>
      </c>
      <c r="X98">
        <f t="shared" si="15"/>
        <v>0.68553531330730999</v>
      </c>
      <c r="Y98">
        <f t="shared" si="16"/>
        <v>1.7901771381150995</v>
      </c>
      <c r="AA98" s="3">
        <f t="shared" si="17"/>
        <v>728.21139835908298</v>
      </c>
      <c r="AB98" s="6">
        <f t="shared" si="18"/>
        <v>714.46483692890479</v>
      </c>
      <c r="AC98" s="3">
        <f t="shared" si="19"/>
        <v>709.55535070384099</v>
      </c>
      <c r="AD98">
        <f t="shared" si="20"/>
        <v>457.93284397252557</v>
      </c>
      <c r="AE98">
        <f t="shared" si="21"/>
        <v>1.2609341877634561</v>
      </c>
      <c r="AF98">
        <f t="shared" si="22"/>
        <v>4.3139009816413589E-2</v>
      </c>
      <c r="AG98">
        <f t="shared" si="23"/>
        <v>4.4766490371969142E-2</v>
      </c>
      <c r="AH98">
        <f t="shared" si="24"/>
        <v>3.7726423542905008E-2</v>
      </c>
      <c r="AI98" s="7">
        <f t="shared" si="25"/>
        <v>461.62574864222466</v>
      </c>
    </row>
    <row r="99" spans="1:35" x14ac:dyDescent="0.25">
      <c r="A99">
        <v>118.78</v>
      </c>
      <c r="B99">
        <v>7.766</v>
      </c>
      <c r="C99">
        <v>78.826999999999998</v>
      </c>
      <c r="D99">
        <v>527.16899999999998</v>
      </c>
      <c r="E99">
        <v>350.31900000000002</v>
      </c>
      <c r="F99">
        <v>2.5230000000000001</v>
      </c>
      <c r="G99">
        <v>81.251999999999995</v>
      </c>
      <c r="H99">
        <v>79.766999999999996</v>
      </c>
      <c r="I99">
        <v>5.2869999999999999</v>
      </c>
      <c r="J99">
        <v>9.0459999999999994</v>
      </c>
      <c r="K99">
        <v>54486.338000000003</v>
      </c>
      <c r="L99">
        <v>19.678000000000001</v>
      </c>
      <c r="M99">
        <f t="shared" si="13"/>
        <v>2.5127777777777779E-6</v>
      </c>
      <c r="N99">
        <v>282.32057999999995</v>
      </c>
      <c r="O99">
        <v>353.73688499999992</v>
      </c>
      <c r="P99">
        <v>918.76621199999988</v>
      </c>
      <c r="Q99">
        <v>715.74241200000006</v>
      </c>
      <c r="R99">
        <f t="shared" si="14"/>
        <v>1.7425652924365469</v>
      </c>
      <c r="S99">
        <v>1.6846406280162149</v>
      </c>
      <c r="T99">
        <v>71.416304999999966</v>
      </c>
      <c r="U99">
        <v>203.02379999999982</v>
      </c>
      <c r="V99">
        <v>565.02932699999997</v>
      </c>
      <c r="W99">
        <v>0.23292152939877378</v>
      </c>
      <c r="X99">
        <f t="shared" si="15"/>
        <v>0.67976921726672401</v>
      </c>
      <c r="Y99">
        <f t="shared" si="16"/>
        <v>1.8089020327935741</v>
      </c>
      <c r="AA99" s="3">
        <f t="shared" si="17"/>
        <v>729.92712819511564</v>
      </c>
      <c r="AB99" s="6">
        <f t="shared" si="18"/>
        <v>716.23981978861036</v>
      </c>
      <c r="AC99" s="3">
        <f t="shared" si="19"/>
        <v>711.35149535771552</v>
      </c>
      <c r="AD99">
        <f t="shared" si="20"/>
        <v>461.52118286666894</v>
      </c>
      <c r="AE99">
        <f t="shared" si="21"/>
        <v>1.2609341877634561</v>
      </c>
      <c r="AF99">
        <f t="shared" si="22"/>
        <v>4.3139009816413589E-2</v>
      </c>
      <c r="AG99">
        <f t="shared" si="23"/>
        <v>4.5073848705302476E-2</v>
      </c>
      <c r="AH99">
        <f t="shared" si="24"/>
        <v>4.4851258689593727E-2</v>
      </c>
      <c r="AI99" s="7">
        <f t="shared" si="25"/>
        <v>461.38793625014955</v>
      </c>
    </row>
    <row r="100" spans="1:35" x14ac:dyDescent="0.25">
      <c r="A100">
        <v>119.78</v>
      </c>
      <c r="B100">
        <v>7.7939999999999996</v>
      </c>
      <c r="C100">
        <v>78.847999999999999</v>
      </c>
      <c r="D100">
        <v>527.04899999999998</v>
      </c>
      <c r="E100">
        <v>350.09</v>
      </c>
      <c r="F100">
        <v>2.5539999999999998</v>
      </c>
      <c r="G100">
        <v>80.849000000000004</v>
      </c>
      <c r="H100">
        <v>79.599999999999994</v>
      </c>
      <c r="I100">
        <v>5.3520000000000003</v>
      </c>
      <c r="J100">
        <v>7.5330000000000004</v>
      </c>
      <c r="K100">
        <v>54456.292999999998</v>
      </c>
      <c r="L100">
        <v>20.138000000000002</v>
      </c>
      <c r="M100">
        <f t="shared" si="13"/>
        <v>2.0925000000000003E-6</v>
      </c>
      <c r="N100">
        <v>282.34871999999996</v>
      </c>
      <c r="O100">
        <v>353.75798999999995</v>
      </c>
      <c r="P100">
        <v>918.62845199999992</v>
      </c>
      <c r="Q100">
        <v>715.47951999999998</v>
      </c>
      <c r="R100">
        <f t="shared" si="14"/>
        <v>1.7382559828012143</v>
      </c>
      <c r="S100">
        <v>1.6821004666887149</v>
      </c>
      <c r="T100">
        <v>71.409269999999992</v>
      </c>
      <c r="U100">
        <v>203.14893199999995</v>
      </c>
      <c r="V100">
        <v>564.87046199999997</v>
      </c>
      <c r="W100">
        <v>0.23322101413049273</v>
      </c>
      <c r="X100">
        <f t="shared" si="15"/>
        <v>0.67662694408996604</v>
      </c>
      <c r="Y100">
        <f t="shared" si="16"/>
        <v>1.8152064130499885</v>
      </c>
      <c r="AA100" s="3">
        <f t="shared" si="17"/>
        <v>730.00837094315375</v>
      </c>
      <c r="AB100" s="6">
        <f t="shared" si="18"/>
        <v>716.36019307098923</v>
      </c>
      <c r="AC100" s="3">
        <f t="shared" si="19"/>
        <v>711.48584383093043</v>
      </c>
      <c r="AD100">
        <f t="shared" si="20"/>
        <v>462.38940655143824</v>
      </c>
      <c r="AE100">
        <f t="shared" si="21"/>
        <v>1.2609341877634561</v>
      </c>
      <c r="AF100">
        <f t="shared" si="22"/>
        <v>4.3139009816413589E-2</v>
      </c>
      <c r="AG100">
        <f t="shared" si="23"/>
        <v>4.4750234816413589E-2</v>
      </c>
      <c r="AH100">
        <f t="shared" si="24"/>
        <v>3.7349605539322303E-2</v>
      </c>
      <c r="AI100" s="7">
        <f t="shared" si="25"/>
        <v>465.87915041094567</v>
      </c>
    </row>
    <row r="101" spans="1:35" x14ac:dyDescent="0.25">
      <c r="A101">
        <v>120.78</v>
      </c>
      <c r="B101">
        <v>7.8150000000000004</v>
      </c>
      <c r="C101">
        <v>78.971999999999994</v>
      </c>
      <c r="D101">
        <v>528.029</v>
      </c>
      <c r="E101">
        <v>349.85500000000002</v>
      </c>
      <c r="F101">
        <v>2.5619999999999998</v>
      </c>
      <c r="G101">
        <v>81.503</v>
      </c>
      <c r="H101">
        <v>80.096999999999994</v>
      </c>
      <c r="I101">
        <v>5.3170000000000002</v>
      </c>
      <c r="J101">
        <v>8.4030000000000005</v>
      </c>
      <c r="K101">
        <v>54435.904000000002</v>
      </c>
      <c r="L101">
        <v>20.527999999999999</v>
      </c>
      <c r="M101">
        <f t="shared" si="13"/>
        <v>2.334166666666667E-6</v>
      </c>
      <c r="N101">
        <v>282.36982499999993</v>
      </c>
      <c r="O101">
        <v>353.88260999999994</v>
      </c>
      <c r="P101">
        <v>919.75349199999994</v>
      </c>
      <c r="Q101">
        <v>715.2097399999999</v>
      </c>
      <c r="R101">
        <f t="shared" si="14"/>
        <v>1.7442910750315852</v>
      </c>
      <c r="S101">
        <v>1.6872088000955729</v>
      </c>
      <c r="T101">
        <v>71.512785000000008</v>
      </c>
      <c r="U101">
        <v>204.54375200000004</v>
      </c>
      <c r="V101">
        <v>565.87088199999994</v>
      </c>
      <c r="W101">
        <v>0.23509067391808305</v>
      </c>
      <c r="X101">
        <f t="shared" si="15"/>
        <v>0.68027947673047118</v>
      </c>
      <c r="Y101">
        <f t="shared" si="16"/>
        <v>1.8155245280710193</v>
      </c>
      <c r="AA101" s="3">
        <f t="shared" si="17"/>
        <v>730.51882547936043</v>
      </c>
      <c r="AB101" s="6">
        <f t="shared" si="18"/>
        <v>716.7793471003472</v>
      </c>
      <c r="AC101" s="3">
        <f t="shared" si="19"/>
        <v>711.87239053641383</v>
      </c>
      <c r="AD101">
        <f t="shared" si="20"/>
        <v>464.01066899630354</v>
      </c>
      <c r="AE101">
        <f t="shared" si="21"/>
        <v>1.2609341877634561</v>
      </c>
      <c r="AF101">
        <f t="shared" si="22"/>
        <v>4.3139009816413589E-2</v>
      </c>
      <c r="AG101">
        <f t="shared" si="23"/>
        <v>4.4936318149746919E-2</v>
      </c>
      <c r="AH101">
        <f t="shared" si="24"/>
        <v>4.1663180054019026E-2</v>
      </c>
      <c r="AI101" s="7">
        <f t="shared" si="25"/>
        <v>465.97973322939254</v>
      </c>
    </row>
    <row r="102" spans="1:35" x14ac:dyDescent="0.25">
      <c r="A102">
        <v>121.78</v>
      </c>
      <c r="B102">
        <v>7.8680000000000003</v>
      </c>
      <c r="C102">
        <v>78.995999999999995</v>
      </c>
      <c r="D102">
        <v>528.17600000000004</v>
      </c>
      <c r="E102">
        <v>349.678</v>
      </c>
      <c r="F102">
        <v>2.5739999999999998</v>
      </c>
      <c r="G102">
        <v>80.337999999999994</v>
      </c>
      <c r="H102">
        <v>79.06</v>
      </c>
      <c r="I102">
        <v>5.9340000000000002</v>
      </c>
      <c r="J102">
        <v>7.8730000000000002</v>
      </c>
      <c r="K102">
        <v>54451.366999999998</v>
      </c>
      <c r="L102">
        <v>19.617000000000001</v>
      </c>
      <c r="M102">
        <f t="shared" si="13"/>
        <v>2.1869444444444446E-6</v>
      </c>
      <c r="N102">
        <v>282.42308999999995</v>
      </c>
      <c r="O102">
        <v>353.90672999999992</v>
      </c>
      <c r="P102">
        <v>919.92224799999997</v>
      </c>
      <c r="Q102">
        <v>715.00654399999996</v>
      </c>
      <c r="R102">
        <f t="shared" si="14"/>
        <v>1.7331108471444463</v>
      </c>
      <c r="S102">
        <v>1.6682201144068571</v>
      </c>
      <c r="T102">
        <v>71.48363999999998</v>
      </c>
      <c r="U102">
        <v>204.91570400000001</v>
      </c>
      <c r="V102">
        <v>566.01551800000004</v>
      </c>
      <c r="W102">
        <v>0.23573923285968992</v>
      </c>
      <c r="X102">
        <f t="shared" si="15"/>
        <v>0.67218386530919572</v>
      </c>
      <c r="Y102">
        <f t="shared" si="16"/>
        <v>1.8561417525632227</v>
      </c>
      <c r="AA102" s="3">
        <f t="shared" si="17"/>
        <v>732.08637440431289</v>
      </c>
      <c r="AB102" s="6">
        <f t="shared" si="18"/>
        <v>718.62311387181819</v>
      </c>
      <c r="AC102" s="3">
        <f t="shared" si="19"/>
        <v>713.81480653878441</v>
      </c>
      <c r="AD102">
        <f t="shared" si="20"/>
        <v>468.9835620250401</v>
      </c>
      <c r="AE102">
        <f t="shared" si="21"/>
        <v>1.2609341877634561</v>
      </c>
      <c r="AF102">
        <f t="shared" si="22"/>
        <v>4.3139009816413589E-2</v>
      </c>
      <c r="AG102">
        <f t="shared" si="23"/>
        <v>4.4822957038635813E-2</v>
      </c>
      <c r="AH102">
        <f t="shared" si="24"/>
        <v>3.9035370292192284E-2</v>
      </c>
      <c r="AI102" s="7">
        <f t="shared" si="25"/>
        <v>470.98138607778571</v>
      </c>
    </row>
    <row r="103" spans="1:35" x14ac:dyDescent="0.25">
      <c r="A103">
        <v>122.78</v>
      </c>
      <c r="B103">
        <v>7.8209999999999997</v>
      </c>
      <c r="C103">
        <v>79.001999999999995</v>
      </c>
      <c r="D103">
        <v>526.06899999999996</v>
      </c>
      <c r="E103">
        <v>349.87900000000002</v>
      </c>
      <c r="F103">
        <v>2.581</v>
      </c>
      <c r="G103">
        <v>81.614999999999995</v>
      </c>
      <c r="H103">
        <v>80.188999999999993</v>
      </c>
      <c r="I103">
        <v>5.4550000000000001</v>
      </c>
      <c r="J103">
        <v>7.3879999999999999</v>
      </c>
      <c r="K103">
        <v>54432.459000000003</v>
      </c>
      <c r="L103">
        <v>20.905999999999999</v>
      </c>
      <c r="M103">
        <f t="shared" si="13"/>
        <v>2.052222222222222E-6</v>
      </c>
      <c r="N103">
        <v>282.375855</v>
      </c>
      <c r="O103">
        <v>353.91275999999993</v>
      </c>
      <c r="P103">
        <v>917.50341199999991</v>
      </c>
      <c r="Q103">
        <v>715.23729199999991</v>
      </c>
      <c r="R103">
        <f t="shared" si="14"/>
        <v>1.7450344548034049</v>
      </c>
      <c r="S103">
        <v>1.6859162039374054</v>
      </c>
      <c r="T103">
        <v>71.536904999999933</v>
      </c>
      <c r="U103">
        <v>202.26612</v>
      </c>
      <c r="V103">
        <v>563.59065199999998</v>
      </c>
      <c r="W103">
        <v>0.23195774191087909</v>
      </c>
      <c r="X103">
        <f t="shared" si="15"/>
        <v>0.6806279942255834</v>
      </c>
      <c r="Y103">
        <f t="shared" si="16"/>
        <v>1.8021831593487967</v>
      </c>
      <c r="AA103" s="3">
        <f t="shared" si="17"/>
        <v>728.82837441794834</v>
      </c>
      <c r="AB103" s="6">
        <f t="shared" si="18"/>
        <v>715.14130833254944</v>
      </c>
      <c r="AC103" s="3">
        <f t="shared" si="19"/>
        <v>710.25307044490694</v>
      </c>
      <c r="AD103">
        <f t="shared" si="20"/>
        <v>459.88026695166377</v>
      </c>
      <c r="AE103">
        <f t="shared" si="21"/>
        <v>1.2609341877634561</v>
      </c>
      <c r="AF103">
        <f t="shared" si="22"/>
        <v>4.3139009816413589E-2</v>
      </c>
      <c r="AG103">
        <f t="shared" si="23"/>
        <v>4.47192209275247E-2</v>
      </c>
      <c r="AH103">
        <f t="shared" si="24"/>
        <v>3.6630676453539505E-2</v>
      </c>
      <c r="AI103" s="7">
        <f t="shared" si="25"/>
        <v>464.53580702537124</v>
      </c>
    </row>
    <row r="104" spans="1:35" x14ac:dyDescent="0.25">
      <c r="A104">
        <v>123.78</v>
      </c>
      <c r="B104">
        <v>7.8230000000000004</v>
      </c>
      <c r="C104">
        <v>79.046000000000006</v>
      </c>
      <c r="D104">
        <v>526.202</v>
      </c>
      <c r="E104">
        <v>350.08199999999999</v>
      </c>
      <c r="F104">
        <v>2.57</v>
      </c>
      <c r="G104">
        <v>81.703999999999994</v>
      </c>
      <c r="H104">
        <v>80.238</v>
      </c>
      <c r="I104">
        <v>5.3360000000000003</v>
      </c>
      <c r="J104">
        <v>8.32</v>
      </c>
      <c r="K104">
        <v>54428.932999999997</v>
      </c>
      <c r="L104">
        <v>21.004999999999999</v>
      </c>
      <c r="M104">
        <f t="shared" si="13"/>
        <v>2.3111111111111112E-6</v>
      </c>
      <c r="N104">
        <v>282.37786499999993</v>
      </c>
      <c r="O104">
        <v>353.95697999999993</v>
      </c>
      <c r="P104">
        <v>917.65609599999993</v>
      </c>
      <c r="Q104">
        <v>715.47033599999986</v>
      </c>
      <c r="R104">
        <f t="shared" si="14"/>
        <v>1.746054492316395</v>
      </c>
      <c r="S104">
        <v>1.6882097835275094</v>
      </c>
      <c r="T104">
        <v>71.579115000000002</v>
      </c>
      <c r="U104">
        <v>202.18576000000007</v>
      </c>
      <c r="V104">
        <v>563.699116</v>
      </c>
      <c r="W104">
        <v>0.23169567113530842</v>
      </c>
      <c r="X104">
        <f t="shared" si="15"/>
        <v>0.68100376931733753</v>
      </c>
      <c r="Y104">
        <f t="shared" si="16"/>
        <v>1.7967898067416399</v>
      </c>
      <c r="AA104" s="3">
        <f t="shared" si="17"/>
        <v>728.77813569811201</v>
      </c>
      <c r="AB104" s="6">
        <f t="shared" si="18"/>
        <v>715.05543986163377</v>
      </c>
      <c r="AC104" s="3">
        <f t="shared" si="19"/>
        <v>710.1544770628916</v>
      </c>
      <c r="AD104">
        <f t="shared" si="20"/>
        <v>459.15859778763939</v>
      </c>
      <c r="AE104">
        <f t="shared" si="21"/>
        <v>1.2609341877634561</v>
      </c>
      <c r="AF104">
        <f t="shared" si="22"/>
        <v>4.3139009816413589E-2</v>
      </c>
      <c r="AG104">
        <f t="shared" si="23"/>
        <v>4.4918565371969144E-2</v>
      </c>
      <c r="AH104">
        <f t="shared" si="24"/>
        <v>4.1251655129053703E-2</v>
      </c>
      <c r="AI104" s="7">
        <f t="shared" si="25"/>
        <v>461.97294038779302</v>
      </c>
    </row>
    <row r="105" spans="1:35" x14ac:dyDescent="0.25">
      <c r="A105">
        <v>124.78</v>
      </c>
      <c r="B105">
        <v>7.9130000000000003</v>
      </c>
      <c r="C105">
        <v>79.052000000000007</v>
      </c>
      <c r="D105">
        <v>527.21400000000006</v>
      </c>
      <c r="E105">
        <v>349.983</v>
      </c>
      <c r="F105">
        <v>2.5779999999999998</v>
      </c>
      <c r="G105">
        <v>81.501000000000005</v>
      </c>
      <c r="H105">
        <v>80.064999999999998</v>
      </c>
      <c r="I105">
        <v>5.4429999999999996</v>
      </c>
      <c r="J105">
        <v>7.3810000000000002</v>
      </c>
      <c r="K105">
        <v>54439.536</v>
      </c>
      <c r="L105">
        <v>21.053999999999998</v>
      </c>
      <c r="M105">
        <f t="shared" si="13"/>
        <v>2.0502777777777781E-6</v>
      </c>
      <c r="N105">
        <v>282.46831499999996</v>
      </c>
      <c r="O105">
        <v>353.96300999999994</v>
      </c>
      <c r="P105">
        <v>918.81787199999997</v>
      </c>
      <c r="Q105">
        <v>715.35668399999997</v>
      </c>
      <c r="R105">
        <f t="shared" si="14"/>
        <v>1.7440091253605836</v>
      </c>
      <c r="S105">
        <v>1.6849636966119899</v>
      </c>
      <c r="T105">
        <v>71.494694999999979</v>
      </c>
      <c r="U105">
        <v>203.46118799999999</v>
      </c>
      <c r="V105">
        <v>564.85486200000003</v>
      </c>
      <c r="W105">
        <v>0.23362902911509331</v>
      </c>
      <c r="X105">
        <f t="shared" si="15"/>
        <v>0.68047503087370043</v>
      </c>
      <c r="Y105">
        <f t="shared" si="16"/>
        <v>1.8120733950234997</v>
      </c>
      <c r="AA105" s="3">
        <f t="shared" si="17"/>
        <v>729.94393845588957</v>
      </c>
      <c r="AB105" s="6">
        <f t="shared" si="18"/>
        <v>716.25114871120138</v>
      </c>
      <c r="AC105" s="3">
        <f t="shared" si="19"/>
        <v>711.36086665952712</v>
      </c>
      <c r="AD105">
        <f t="shared" si="20"/>
        <v>462.38433087737553</v>
      </c>
      <c r="AE105">
        <f t="shared" si="21"/>
        <v>1.2609341877634561</v>
      </c>
      <c r="AF105">
        <f t="shared" si="22"/>
        <v>4.3139009816413589E-2</v>
      </c>
      <c r="AG105">
        <f t="shared" si="23"/>
        <v>4.4717723705302477E-2</v>
      </c>
      <c r="AI105" s="7">
        <f t="shared" si="25"/>
        <v>467.11432096194795</v>
      </c>
    </row>
    <row r="106" spans="1:35" x14ac:dyDescent="0.25">
      <c r="A106">
        <v>125.78</v>
      </c>
      <c r="B106">
        <v>8.0310000000000006</v>
      </c>
      <c r="C106">
        <v>78.956000000000003</v>
      </c>
      <c r="D106">
        <v>527.99199999999996</v>
      </c>
      <c r="E106">
        <v>350.18799999999999</v>
      </c>
      <c r="F106">
        <v>2.581</v>
      </c>
      <c r="G106">
        <v>81.268000000000001</v>
      </c>
      <c r="H106">
        <v>79.778999999999996</v>
      </c>
      <c r="I106">
        <v>5.4589999999999996</v>
      </c>
      <c r="J106">
        <v>7.532</v>
      </c>
      <c r="K106">
        <v>54435.135999999999</v>
      </c>
      <c r="L106">
        <v>20.084</v>
      </c>
      <c r="M106">
        <f t="shared" si="13"/>
        <v>2.092222222222222E-6</v>
      </c>
      <c r="N106">
        <v>282.58690499999994</v>
      </c>
      <c r="O106">
        <v>353.86652999999995</v>
      </c>
      <c r="P106">
        <v>919.71101599999986</v>
      </c>
      <c r="Q106">
        <v>715.59202399999992</v>
      </c>
      <c r="R106">
        <f t="shared" si="14"/>
        <v>1.7417633695006645</v>
      </c>
      <c r="S106">
        <v>1.6820914288860946</v>
      </c>
      <c r="T106">
        <v>71.27962500000001</v>
      </c>
      <c r="U106">
        <v>204.11899199999993</v>
      </c>
      <c r="V106">
        <v>565.84448599999996</v>
      </c>
      <c r="W106">
        <v>0.23476303169277493</v>
      </c>
      <c r="X106">
        <f t="shared" si="15"/>
        <v>0.6811041672048751</v>
      </c>
      <c r="Y106">
        <f t="shared" si="16"/>
        <v>1.8217450352529314</v>
      </c>
      <c r="AA106" s="3">
        <f t="shared" si="17"/>
        <v>730.86933421928825</v>
      </c>
      <c r="AB106" s="6">
        <f t="shared" si="18"/>
        <v>717.20520476192769</v>
      </c>
      <c r="AC106" s="3">
        <f t="shared" si="19"/>
        <v>712.32515852715608</v>
      </c>
      <c r="AD106">
        <f t="shared" si="20"/>
        <v>464.24034953177653</v>
      </c>
      <c r="AE106">
        <f t="shared" si="21"/>
        <v>1.2609341877634561</v>
      </c>
      <c r="AF106">
        <f t="shared" si="22"/>
        <v>4.3139009816413589E-2</v>
      </c>
      <c r="AG106">
        <f t="shared" si="23"/>
        <v>4.4750020927524697E-2</v>
      </c>
      <c r="AI106" s="7">
        <f t="shared" si="25"/>
        <v>467.61158949680225</v>
      </c>
    </row>
    <row r="107" spans="1:35" x14ac:dyDescent="0.25">
      <c r="A107">
        <v>126.78</v>
      </c>
      <c r="B107">
        <v>8.2219999999999995</v>
      </c>
      <c r="C107">
        <v>79.004000000000005</v>
      </c>
      <c r="D107">
        <v>527.25300000000004</v>
      </c>
      <c r="E107">
        <v>349.91399999999999</v>
      </c>
      <c r="F107">
        <v>2.556</v>
      </c>
      <c r="G107">
        <v>80.658000000000001</v>
      </c>
      <c r="H107">
        <v>79.349999999999994</v>
      </c>
      <c r="I107">
        <v>5.6139999999999999</v>
      </c>
      <c r="J107">
        <v>7.5730000000000004</v>
      </c>
      <c r="K107">
        <v>54434.650999999998</v>
      </c>
      <c r="L107">
        <v>20.863</v>
      </c>
      <c r="M107">
        <f t="shared" si="13"/>
        <v>2.1036111111111115E-6</v>
      </c>
      <c r="N107">
        <v>282.77885999999995</v>
      </c>
      <c r="O107">
        <v>353.91476999999998</v>
      </c>
      <c r="P107">
        <v>918.86264399999993</v>
      </c>
      <c r="Q107">
        <v>715.27747199999988</v>
      </c>
      <c r="R107">
        <f t="shared" si="14"/>
        <v>1.7364222674813308</v>
      </c>
      <c r="S107">
        <v>1.6757702952874973</v>
      </c>
      <c r="T107">
        <v>71.135910000000024</v>
      </c>
      <c r="U107">
        <v>203.58517200000006</v>
      </c>
      <c r="V107">
        <v>564.94787399999996</v>
      </c>
      <c r="W107">
        <v>0.23444510209803895</v>
      </c>
      <c r="X107">
        <f t="shared" si="15"/>
        <v>0.67885812952986113</v>
      </c>
      <c r="Y107">
        <f t="shared" si="16"/>
        <v>1.8310783804913422</v>
      </c>
      <c r="AA107" s="3">
        <f t="shared" si="17"/>
        <v>730.6713700706805</v>
      </c>
      <c r="AB107" s="6">
        <f t="shared" si="18"/>
        <v>717.11244202886837</v>
      </c>
      <c r="AC107" s="3">
        <f t="shared" si="19"/>
        <v>712.2699677282211</v>
      </c>
      <c r="AD107">
        <f t="shared" si="20"/>
        <v>464.6883072536707</v>
      </c>
      <c r="AE107">
        <f t="shared" si="21"/>
        <v>1.2609341877634561</v>
      </c>
      <c r="AF107">
        <f t="shared" si="22"/>
        <v>4.3139009816413589E-2</v>
      </c>
      <c r="AG107">
        <f t="shared" si="23"/>
        <v>4.4758790371969143E-2</v>
      </c>
      <c r="AI107" s="7">
        <f t="shared" si="25"/>
        <v>468.73465340247753</v>
      </c>
    </row>
    <row r="108" spans="1:35" x14ac:dyDescent="0.25">
      <c r="A108">
        <v>127.78</v>
      </c>
      <c r="B108">
        <v>8.1920000000000002</v>
      </c>
      <c r="C108">
        <v>78.879000000000005</v>
      </c>
      <c r="D108">
        <v>523.351</v>
      </c>
      <c r="E108">
        <v>349.99200000000002</v>
      </c>
      <c r="F108">
        <v>2.5619999999999998</v>
      </c>
      <c r="G108">
        <v>81.025999999999996</v>
      </c>
      <c r="H108">
        <v>79.614000000000004</v>
      </c>
      <c r="I108">
        <v>5.2969999999999997</v>
      </c>
      <c r="J108">
        <v>8.327</v>
      </c>
      <c r="K108">
        <v>54402.196000000004</v>
      </c>
      <c r="L108">
        <v>19.683</v>
      </c>
      <c r="M108">
        <f t="shared" si="13"/>
        <v>2.3130555555555555E-6</v>
      </c>
      <c r="N108">
        <v>282.74870999999996</v>
      </c>
      <c r="O108">
        <v>353.78914499999996</v>
      </c>
      <c r="P108">
        <v>914.38314799999989</v>
      </c>
      <c r="Q108">
        <v>715.36701600000004</v>
      </c>
      <c r="R108">
        <f t="shared" si="14"/>
        <v>1.7397937055684412</v>
      </c>
      <c r="S108">
        <v>1.6830794966772982</v>
      </c>
      <c r="T108">
        <v>71.040435000000002</v>
      </c>
      <c r="U108">
        <v>199.01613199999986</v>
      </c>
      <c r="V108">
        <v>560.59400299999993</v>
      </c>
      <c r="W108">
        <v>0.22828588303681849</v>
      </c>
      <c r="X108">
        <f t="shared" si="15"/>
        <v>0.68228121035573597</v>
      </c>
      <c r="Y108">
        <f t="shared" si="16"/>
        <v>1.7846648415002033</v>
      </c>
      <c r="AA108" s="3">
        <f t="shared" si="17"/>
        <v>726.56154857052229</v>
      </c>
      <c r="AB108" s="6">
        <f t="shared" si="18"/>
        <v>712.96221079256827</v>
      </c>
      <c r="AC108" s="3">
        <f t="shared" si="19"/>
        <v>708.10530444329902</v>
      </c>
      <c r="AD108">
        <f t="shared" si="20"/>
        <v>454.12245482880127</v>
      </c>
      <c r="AE108">
        <f t="shared" si="21"/>
        <v>1.2609341877634561</v>
      </c>
      <c r="AF108">
        <f t="shared" si="22"/>
        <v>4.3139009816413589E-2</v>
      </c>
      <c r="AG108">
        <f t="shared" si="23"/>
        <v>4.4920062594191366E-2</v>
      </c>
      <c r="AI108" s="7">
        <f t="shared" si="25"/>
        <v>455.79977957115614</v>
      </c>
    </row>
    <row r="109" spans="1:35" x14ac:dyDescent="0.25">
      <c r="A109">
        <v>128.78</v>
      </c>
      <c r="B109">
        <v>8.1669999999999998</v>
      </c>
      <c r="C109">
        <v>78.902000000000001</v>
      </c>
      <c r="D109">
        <v>520.178</v>
      </c>
      <c r="E109">
        <v>350.06700000000001</v>
      </c>
      <c r="F109">
        <v>2.524</v>
      </c>
      <c r="G109">
        <v>81.108000000000004</v>
      </c>
      <c r="H109">
        <v>79.611999999999995</v>
      </c>
      <c r="I109">
        <v>5.3179999999999996</v>
      </c>
      <c r="J109">
        <v>8.4039999999999999</v>
      </c>
      <c r="K109">
        <v>54377.682999999997</v>
      </c>
      <c r="L109">
        <v>20.106000000000002</v>
      </c>
      <c r="M109">
        <f t="shared" si="13"/>
        <v>2.3344444444444444E-6</v>
      </c>
      <c r="N109">
        <v>282.7235849999999</v>
      </c>
      <c r="O109">
        <v>353.81225999999992</v>
      </c>
      <c r="P109">
        <v>910.74054399999989</v>
      </c>
      <c r="Q109">
        <v>715.45311599999991</v>
      </c>
      <c r="R109">
        <f t="shared" si="14"/>
        <v>1.7411906738097034</v>
      </c>
      <c r="S109">
        <v>1.6827363120072047</v>
      </c>
      <c r="T109">
        <v>71.088675000000023</v>
      </c>
      <c r="U109">
        <v>195.28742799999998</v>
      </c>
      <c r="V109">
        <v>556.92828399999996</v>
      </c>
      <c r="W109">
        <v>0.22300672558407891</v>
      </c>
      <c r="X109">
        <f t="shared" si="15"/>
        <v>0.68282612805832177</v>
      </c>
      <c r="Y109">
        <f t="shared" si="16"/>
        <v>1.7588772630225706</v>
      </c>
      <c r="AA109" s="3">
        <f t="shared" si="17"/>
        <v>723.69271471038155</v>
      </c>
      <c r="AB109" s="6">
        <f t="shared" si="18"/>
        <v>710.1525203485113</v>
      </c>
      <c r="AC109" s="3">
        <f t="shared" si="19"/>
        <v>705.3167366478433</v>
      </c>
      <c r="AD109">
        <f t="shared" si="20"/>
        <v>446.77058399158511</v>
      </c>
      <c r="AE109">
        <f t="shared" si="21"/>
        <v>1.2609341877634561</v>
      </c>
      <c r="AF109">
        <f t="shared" si="22"/>
        <v>4.3139009816413589E-2</v>
      </c>
      <c r="AG109">
        <f t="shared" si="23"/>
        <v>4.4936532038635811E-2</v>
      </c>
      <c r="AI109" s="7">
        <f t="shared" si="25"/>
        <v>449.00515474400549</v>
      </c>
    </row>
    <row r="110" spans="1:35" x14ac:dyDescent="0.25">
      <c r="A110">
        <v>129.78100000000001</v>
      </c>
      <c r="B110">
        <v>8.0890000000000004</v>
      </c>
      <c r="C110">
        <v>78.927000000000007</v>
      </c>
      <c r="D110">
        <v>521.28300000000002</v>
      </c>
      <c r="E110">
        <v>350.18799999999999</v>
      </c>
      <c r="F110">
        <v>2.593</v>
      </c>
      <c r="G110">
        <v>81.343999999999994</v>
      </c>
      <c r="H110">
        <v>79.899000000000001</v>
      </c>
      <c r="I110">
        <v>5.47</v>
      </c>
      <c r="J110">
        <v>6.7530000000000001</v>
      </c>
      <c r="K110">
        <v>54378.783000000003</v>
      </c>
      <c r="L110">
        <v>20.417999999999999</v>
      </c>
      <c r="M110">
        <f t="shared" si="13"/>
        <v>1.8758333333333335E-6</v>
      </c>
      <c r="N110">
        <v>282.64519499999994</v>
      </c>
      <c r="O110">
        <v>353.83738499999998</v>
      </c>
      <c r="P110">
        <v>912.00908399999992</v>
      </c>
      <c r="Q110">
        <v>715.59202399999992</v>
      </c>
      <c r="R110">
        <f t="shared" si="14"/>
        <v>1.7422827142224273</v>
      </c>
      <c r="S110">
        <v>1.6830228503257778</v>
      </c>
      <c r="T110">
        <v>71.192190000000039</v>
      </c>
      <c r="U110">
        <v>196.41705999999999</v>
      </c>
      <c r="V110">
        <v>558.17169899999999</v>
      </c>
      <c r="W110">
        <v>0.22434829681323551</v>
      </c>
      <c r="X110">
        <f t="shared" si="15"/>
        <v>0.68247762635214204</v>
      </c>
      <c r="Y110">
        <f t="shared" si="16"/>
        <v>1.7660497472608159</v>
      </c>
      <c r="AA110" s="3">
        <f t="shared" si="17"/>
        <v>724.67935903316538</v>
      </c>
      <c r="AB110" s="6">
        <f t="shared" si="18"/>
        <v>711.11615106739191</v>
      </c>
      <c r="AC110" s="3">
        <f t="shared" si="19"/>
        <v>706.27214822247288</v>
      </c>
      <c r="AD110">
        <f t="shared" si="20"/>
        <v>448.93054568689342</v>
      </c>
      <c r="AE110">
        <f t="shared" si="21"/>
        <v>1.2609341877634561</v>
      </c>
      <c r="AF110">
        <f t="shared" si="22"/>
        <v>4.3139009816413589E-2</v>
      </c>
      <c r="AG110">
        <f t="shared" si="23"/>
        <v>4.4583401483080258E-2</v>
      </c>
      <c r="AI110" s="7">
        <f t="shared" si="25"/>
        <v>454.80430909811821</v>
      </c>
    </row>
    <row r="111" spans="1:35" x14ac:dyDescent="0.25">
      <c r="A111">
        <v>130.78100000000001</v>
      </c>
      <c r="B111">
        <v>8.0190000000000001</v>
      </c>
      <c r="C111">
        <v>78.870999999999995</v>
      </c>
      <c r="D111">
        <v>520.351</v>
      </c>
      <c r="E111">
        <v>350.08699999999999</v>
      </c>
      <c r="F111">
        <v>2.5529999999999999</v>
      </c>
      <c r="G111">
        <v>81.406999999999996</v>
      </c>
      <c r="H111">
        <v>80.081999999999994</v>
      </c>
      <c r="I111">
        <v>5.45</v>
      </c>
      <c r="J111">
        <v>7.649</v>
      </c>
      <c r="K111">
        <v>54389.983999999997</v>
      </c>
      <c r="L111">
        <v>20.077999999999999</v>
      </c>
      <c r="M111">
        <f t="shared" si="13"/>
        <v>2.1247222222222222E-6</v>
      </c>
      <c r="N111">
        <v>282.57484499999993</v>
      </c>
      <c r="O111">
        <v>353.78110499999991</v>
      </c>
      <c r="P111">
        <v>910.93914799999993</v>
      </c>
      <c r="Q111">
        <v>715.47607599999992</v>
      </c>
      <c r="R111">
        <f t="shared" si="14"/>
        <v>1.743533893430643</v>
      </c>
      <c r="S111">
        <v>1.6850114731528223</v>
      </c>
      <c r="T111">
        <v>71.206259999999986</v>
      </c>
      <c r="U111">
        <v>195.46307200000001</v>
      </c>
      <c r="V111">
        <v>557.15804300000002</v>
      </c>
      <c r="W111">
        <v>0.22301896842580449</v>
      </c>
      <c r="X111">
        <f t="shared" si="15"/>
        <v>0.68312689293673734</v>
      </c>
      <c r="Y111">
        <f t="shared" si="16"/>
        <v>1.7558074982348741</v>
      </c>
      <c r="AA111" s="3">
        <f t="shared" si="17"/>
        <v>723.68122754587807</v>
      </c>
      <c r="AB111" s="6">
        <f t="shared" si="18"/>
        <v>710.10516067979881</v>
      </c>
      <c r="AC111" s="3">
        <f t="shared" si="19"/>
        <v>705.25656537048474</v>
      </c>
      <c r="AD111">
        <f t="shared" si="20"/>
        <v>446.59746631706071</v>
      </c>
      <c r="AE111">
        <f t="shared" si="21"/>
        <v>1.2609341877634561</v>
      </c>
      <c r="AF111">
        <f t="shared" si="22"/>
        <v>4.3139009816413589E-2</v>
      </c>
      <c r="AG111">
        <f t="shared" si="23"/>
        <v>4.4775045927524702E-2</v>
      </c>
      <c r="AI111" s="7">
        <f t="shared" si="25"/>
        <v>450.35723443387934</v>
      </c>
    </row>
    <row r="112" spans="1:35" x14ac:dyDescent="0.25">
      <c r="A112">
        <v>131.78200000000001</v>
      </c>
      <c r="B112">
        <v>8.032</v>
      </c>
      <c r="C112">
        <v>78.995000000000005</v>
      </c>
      <c r="D112">
        <v>517.64300000000003</v>
      </c>
      <c r="E112">
        <v>350.428</v>
      </c>
      <c r="F112">
        <v>2.56</v>
      </c>
      <c r="G112">
        <v>81.471999999999994</v>
      </c>
      <c r="H112">
        <v>79.924999999999997</v>
      </c>
      <c r="I112">
        <v>5.3849999999999998</v>
      </c>
      <c r="J112">
        <v>8.0250000000000004</v>
      </c>
      <c r="K112">
        <v>54409.014000000003</v>
      </c>
      <c r="L112">
        <v>20.341000000000001</v>
      </c>
      <c r="M112">
        <f t="shared" si="13"/>
        <v>2.2291666666666668E-6</v>
      </c>
      <c r="N112">
        <v>282.58790999999991</v>
      </c>
      <c r="O112">
        <v>353.90572499999996</v>
      </c>
      <c r="P112">
        <v>907.83036399999992</v>
      </c>
      <c r="Q112">
        <v>715.86754399999995</v>
      </c>
      <c r="R112">
        <f t="shared" si="14"/>
        <v>1.7440316801810294</v>
      </c>
      <c r="S112">
        <v>1.6845754695320752</v>
      </c>
      <c r="T112">
        <v>71.317815000000053</v>
      </c>
      <c r="U112">
        <v>191.96281999999997</v>
      </c>
      <c r="V112">
        <v>553.92463899999996</v>
      </c>
      <c r="W112">
        <v>0.2178003946850971</v>
      </c>
      <c r="X112">
        <f t="shared" si="15"/>
        <v>0.6824687072561898</v>
      </c>
      <c r="Y112">
        <f t="shared" si="16"/>
        <v>1.731074197640587</v>
      </c>
      <c r="AA112" s="3">
        <f t="shared" si="17"/>
        <v>721.24381478073258</v>
      </c>
      <c r="AB112" s="6">
        <f t="shared" si="18"/>
        <v>707.72036209920827</v>
      </c>
      <c r="AC112" s="3">
        <f t="shared" si="19"/>
        <v>702.89055757009248</v>
      </c>
      <c r="AD112">
        <f t="shared" si="20"/>
        <v>439.53482612846761</v>
      </c>
      <c r="AE112">
        <f t="shared" si="21"/>
        <v>1.2609341877634561</v>
      </c>
      <c r="AF112">
        <f t="shared" si="22"/>
        <v>4.3139009816413589E-2</v>
      </c>
      <c r="AG112">
        <f t="shared" si="23"/>
        <v>4.4855468149746919E-2</v>
      </c>
      <c r="AI112" s="7">
        <f t="shared" si="25"/>
        <v>443.05640039915033</v>
      </c>
    </row>
    <row r="113" spans="1:35" x14ac:dyDescent="0.25">
      <c r="A113">
        <v>132.78200000000001</v>
      </c>
      <c r="B113">
        <v>7.891</v>
      </c>
      <c r="C113">
        <v>79.221999999999994</v>
      </c>
      <c r="D113">
        <v>516.63</v>
      </c>
      <c r="E113">
        <v>350.95100000000002</v>
      </c>
      <c r="F113">
        <v>2.5880000000000001</v>
      </c>
      <c r="G113">
        <v>81.546000000000006</v>
      </c>
      <c r="H113">
        <v>80.2</v>
      </c>
      <c r="I113">
        <v>5.4349999999999996</v>
      </c>
      <c r="J113">
        <v>7.04</v>
      </c>
      <c r="K113">
        <v>54415.726000000002</v>
      </c>
      <c r="L113">
        <v>20.516999999999999</v>
      </c>
      <c r="M113">
        <f t="shared" si="13"/>
        <v>1.9555555555555556E-6</v>
      </c>
      <c r="N113">
        <v>282.44620499999996</v>
      </c>
      <c r="O113">
        <v>354.13385999999991</v>
      </c>
      <c r="P113">
        <v>906.66743999999994</v>
      </c>
      <c r="Q113">
        <v>716.46794799999998</v>
      </c>
      <c r="R113">
        <f t="shared" si="14"/>
        <v>1.7442689088304051</v>
      </c>
      <c r="S113">
        <v>1.6863267085876898</v>
      </c>
      <c r="T113">
        <v>71.68765499999995</v>
      </c>
      <c r="U113">
        <v>190.19949199999996</v>
      </c>
      <c r="V113">
        <v>552.53358000000003</v>
      </c>
      <c r="W113">
        <v>0.21448802623000762</v>
      </c>
      <c r="X113">
        <f t="shared" si="15"/>
        <v>0.67878684343317108</v>
      </c>
      <c r="Y113">
        <f t="shared" si="16"/>
        <v>1.7141757066478849</v>
      </c>
      <c r="AA113" s="3">
        <f t="shared" si="17"/>
        <v>720.19035435435467</v>
      </c>
      <c r="AB113" s="6">
        <f t="shared" si="18"/>
        <v>706.65903436770145</v>
      </c>
      <c r="AC113" s="3">
        <f t="shared" si="19"/>
        <v>701.82642008675384</v>
      </c>
      <c r="AD113">
        <f t="shared" si="20"/>
        <v>435.3771318159034</v>
      </c>
      <c r="AE113">
        <f t="shared" si="21"/>
        <v>1.2609341877634561</v>
      </c>
      <c r="AF113">
        <f t="shared" si="22"/>
        <v>4.3139009816413589E-2</v>
      </c>
      <c r="AG113">
        <f t="shared" si="23"/>
        <v>4.4644787594191368E-2</v>
      </c>
      <c r="AI113" s="7">
        <f t="shared" si="25"/>
        <v>441.20974769473645</v>
      </c>
    </row>
    <row r="114" spans="1:35" x14ac:dyDescent="0.25">
      <c r="A114">
        <v>133.78200000000001</v>
      </c>
      <c r="B114">
        <v>7.8860000000000001</v>
      </c>
      <c r="C114">
        <v>79.091999999999999</v>
      </c>
      <c r="D114">
        <v>517.05200000000002</v>
      </c>
      <c r="E114">
        <v>350.47</v>
      </c>
      <c r="F114">
        <v>2.5529999999999999</v>
      </c>
      <c r="G114">
        <v>81.331999999999994</v>
      </c>
      <c r="H114">
        <v>79.924999999999997</v>
      </c>
      <c r="I114">
        <v>5.4619999999999997</v>
      </c>
      <c r="J114">
        <v>7.835</v>
      </c>
      <c r="K114">
        <v>54417.489000000001</v>
      </c>
      <c r="L114">
        <v>20.100000000000001</v>
      </c>
      <c r="M114">
        <f t="shared" si="13"/>
        <v>2.176388888888889E-6</v>
      </c>
      <c r="N114">
        <v>282.44117999999997</v>
      </c>
      <c r="O114">
        <v>354.00320999999991</v>
      </c>
      <c r="P114">
        <v>907.15189599999997</v>
      </c>
      <c r="Q114">
        <v>715.91575999999998</v>
      </c>
      <c r="R114">
        <f t="shared" si="14"/>
        <v>1.7428266998576183</v>
      </c>
      <c r="S114">
        <v>1.6833850333143665</v>
      </c>
      <c r="T114">
        <v>71.562029999999936</v>
      </c>
      <c r="U114">
        <v>191.23613599999999</v>
      </c>
      <c r="V114">
        <v>553.148686</v>
      </c>
      <c r="W114">
        <v>0.21635070104821699</v>
      </c>
      <c r="X114">
        <f t="shared" si="15"/>
        <v>0.67887300211184642</v>
      </c>
      <c r="Y114">
        <f t="shared" si="16"/>
        <v>1.728004180947794</v>
      </c>
      <c r="AA114" s="3">
        <f t="shared" si="17"/>
        <v>720.79300127048623</v>
      </c>
      <c r="AB114" s="6">
        <f t="shared" si="18"/>
        <v>707.29680707308069</v>
      </c>
      <c r="AC114" s="3">
        <f t="shared" si="19"/>
        <v>702.47673771686448</v>
      </c>
      <c r="AD114">
        <f t="shared" si="20"/>
        <v>438.31717858166735</v>
      </c>
      <c r="AE114">
        <f t="shared" si="21"/>
        <v>1.2609341877634561</v>
      </c>
      <c r="AF114">
        <f t="shared" si="22"/>
        <v>4.3139009816413589E-2</v>
      </c>
      <c r="AG114">
        <f t="shared" si="23"/>
        <v>4.481482926085803E-2</v>
      </c>
      <c r="AI114" s="7">
        <f t="shared" si="25"/>
        <v>442.02661182472235</v>
      </c>
    </row>
    <row r="115" spans="1:35" x14ac:dyDescent="0.25">
      <c r="A115">
        <v>134.78200000000001</v>
      </c>
      <c r="B115">
        <v>7.6749999999999998</v>
      </c>
      <c r="C115">
        <v>79.099999999999994</v>
      </c>
      <c r="D115">
        <v>516.99</v>
      </c>
      <c r="E115">
        <v>350.94799999999998</v>
      </c>
      <c r="F115">
        <v>2.5670000000000002</v>
      </c>
      <c r="G115">
        <v>81.483999999999995</v>
      </c>
      <c r="H115">
        <v>80.129000000000005</v>
      </c>
      <c r="I115">
        <v>5.3949999999999996</v>
      </c>
      <c r="J115">
        <v>8.4779999999999998</v>
      </c>
      <c r="K115">
        <v>54409.45</v>
      </c>
      <c r="L115">
        <v>20.506</v>
      </c>
      <c r="M115">
        <f t="shared" si="13"/>
        <v>2.3549999999999999E-6</v>
      </c>
      <c r="N115">
        <v>282.22912499999995</v>
      </c>
      <c r="O115">
        <v>354.01124999999996</v>
      </c>
      <c r="P115">
        <v>907.08071999999993</v>
      </c>
      <c r="Q115">
        <v>716.46450399999992</v>
      </c>
      <c r="R115">
        <f t="shared" si="14"/>
        <v>1.744029717065628</v>
      </c>
      <c r="S115">
        <v>1.6862941365535611</v>
      </c>
      <c r="T115">
        <v>71.782125000000008</v>
      </c>
      <c r="U115">
        <v>190.61621600000001</v>
      </c>
      <c r="V115">
        <v>553.06946999999991</v>
      </c>
      <c r="W115">
        <v>0.21486286523824941</v>
      </c>
      <c r="X115">
        <f t="shared" si="15"/>
        <v>0.67719191163443637</v>
      </c>
      <c r="Y115">
        <f t="shared" si="16"/>
        <v>1.7172081435806035</v>
      </c>
      <c r="AA115" s="3">
        <f t="shared" si="17"/>
        <v>720.52104294641754</v>
      </c>
      <c r="AB115" s="6">
        <f t="shared" si="18"/>
        <v>706.98402351933214</v>
      </c>
      <c r="AC115" s="3">
        <f t="shared" si="19"/>
        <v>702.14937372394445</v>
      </c>
      <c r="AD115">
        <f t="shared" si="20"/>
        <v>436.24111452313468</v>
      </c>
      <c r="AE115">
        <f t="shared" si="21"/>
        <v>1.2609341877634561</v>
      </c>
      <c r="AF115">
        <f t="shared" si="22"/>
        <v>4.3139009816413589E-2</v>
      </c>
      <c r="AG115">
        <f t="shared" si="23"/>
        <v>4.4952359816413587E-2</v>
      </c>
      <c r="AI115" s="7">
        <f t="shared" si="25"/>
        <v>439.14942158218071</v>
      </c>
    </row>
    <row r="116" spans="1:35" x14ac:dyDescent="0.25">
      <c r="A116">
        <v>135.78200000000001</v>
      </c>
      <c r="B116">
        <v>7.4119999999999999</v>
      </c>
      <c r="C116">
        <v>79.093999999999994</v>
      </c>
      <c r="D116">
        <v>516.83500000000004</v>
      </c>
      <c r="E116">
        <v>350.72399999999999</v>
      </c>
      <c r="F116">
        <v>2.5640000000000001</v>
      </c>
      <c r="G116">
        <v>81.56</v>
      </c>
      <c r="H116">
        <v>80.100999999999999</v>
      </c>
      <c r="I116">
        <v>5.4560000000000004</v>
      </c>
      <c r="J116">
        <v>8.0630000000000006</v>
      </c>
      <c r="K116">
        <v>54418.887999999999</v>
      </c>
      <c r="L116">
        <v>20.709</v>
      </c>
      <c r="M116">
        <f t="shared" si="13"/>
        <v>2.2397222222222223E-6</v>
      </c>
      <c r="N116">
        <v>281.96480999999994</v>
      </c>
      <c r="O116">
        <v>354.00521999999995</v>
      </c>
      <c r="P116">
        <v>906.90277999999989</v>
      </c>
      <c r="Q116">
        <v>716.20735200000001</v>
      </c>
      <c r="R116">
        <f t="shared" si="14"/>
        <v>1.744795595112385</v>
      </c>
      <c r="S116">
        <v>1.6850930650904952</v>
      </c>
      <c r="T116">
        <v>72.040410000000008</v>
      </c>
      <c r="U116">
        <v>190.69542799999988</v>
      </c>
      <c r="V116">
        <v>552.89755999999988</v>
      </c>
      <c r="W116">
        <v>0.2146057906278333</v>
      </c>
      <c r="X116">
        <f t="shared" si="15"/>
        <v>0.67470763256515132</v>
      </c>
      <c r="Y116">
        <f t="shared" si="16"/>
        <v>1.7204551746755752</v>
      </c>
      <c r="AA116" s="3">
        <f t="shared" si="17"/>
        <v>720.46855937401688</v>
      </c>
      <c r="AB116" s="6">
        <f t="shared" si="18"/>
        <v>706.95147369674237</v>
      </c>
      <c r="AC116" s="3">
        <f t="shared" si="19"/>
        <v>702.12394309771582</v>
      </c>
      <c r="AD116">
        <f t="shared" si="20"/>
        <v>436.74463889980427</v>
      </c>
      <c r="AE116">
        <f t="shared" si="21"/>
        <v>1.2609341877634561</v>
      </c>
      <c r="AF116">
        <f t="shared" si="22"/>
        <v>4.3139009816413589E-2</v>
      </c>
      <c r="AG116">
        <f t="shared" si="23"/>
        <v>4.4863595927524702E-2</v>
      </c>
      <c r="AI116" s="7">
        <f t="shared" si="25"/>
        <v>440.66488795871584</v>
      </c>
    </row>
    <row r="117" spans="1:35" x14ac:dyDescent="0.25">
      <c r="A117">
        <v>136.78200000000001</v>
      </c>
      <c r="B117">
        <v>7.3140000000000001</v>
      </c>
      <c r="C117">
        <v>78.95</v>
      </c>
      <c r="D117">
        <v>518.08100000000002</v>
      </c>
      <c r="E117">
        <v>351.13499999999999</v>
      </c>
      <c r="F117">
        <v>2.581</v>
      </c>
      <c r="G117">
        <v>81.203999999999994</v>
      </c>
      <c r="H117">
        <v>79.795000000000002</v>
      </c>
      <c r="I117">
        <v>5.3739999999999997</v>
      </c>
      <c r="J117">
        <v>7.9489999999999998</v>
      </c>
      <c r="K117">
        <v>54410.857000000004</v>
      </c>
      <c r="L117">
        <v>20.664999999999999</v>
      </c>
      <c r="M117">
        <f t="shared" si="13"/>
        <v>2.2080555555555553E-6</v>
      </c>
      <c r="N117">
        <v>281.86631999999997</v>
      </c>
      <c r="O117">
        <v>353.86049999999994</v>
      </c>
      <c r="P117">
        <v>908.33318799999995</v>
      </c>
      <c r="Q117">
        <v>716.67917999999986</v>
      </c>
      <c r="R117">
        <f t="shared" si="14"/>
        <v>1.7411600569376231</v>
      </c>
      <c r="S117">
        <v>1.6835516284879772</v>
      </c>
      <c r="T117">
        <v>71.994179999999972</v>
      </c>
      <c r="U117">
        <v>191.65400800000009</v>
      </c>
      <c r="V117">
        <v>554.47268800000006</v>
      </c>
      <c r="W117">
        <v>0.21580833572094738</v>
      </c>
      <c r="X117">
        <f t="shared" si="15"/>
        <v>0.6721704512116895</v>
      </c>
      <c r="Y117">
        <f t="shared" si="16"/>
        <v>1.729220213552763</v>
      </c>
      <c r="AA117" s="3">
        <f t="shared" si="17"/>
        <v>721.71925183864744</v>
      </c>
      <c r="AB117" s="6">
        <f t="shared" si="18"/>
        <v>708.20307858505112</v>
      </c>
      <c r="AC117" s="3">
        <f t="shared" si="19"/>
        <v>703.37587385162374</v>
      </c>
      <c r="AD117">
        <f t="shared" si="20"/>
        <v>438.9486398558235</v>
      </c>
      <c r="AE117">
        <f t="shared" si="21"/>
        <v>1.2609341877634561</v>
      </c>
      <c r="AF117">
        <f t="shared" si="22"/>
        <v>4.3139009816413589E-2</v>
      </c>
      <c r="AG117">
        <f t="shared" si="23"/>
        <v>4.4839212594191366E-2</v>
      </c>
      <c r="AI117" s="7">
        <f t="shared" si="25"/>
        <v>442.96968797515814</v>
      </c>
    </row>
    <row r="118" spans="1:35" x14ac:dyDescent="0.25">
      <c r="A118">
        <v>137.78200000000001</v>
      </c>
      <c r="B118">
        <v>7.1289999999999996</v>
      </c>
      <c r="C118">
        <v>78.909000000000006</v>
      </c>
      <c r="D118">
        <v>519.48199999999997</v>
      </c>
      <c r="E118">
        <v>351.18599999999998</v>
      </c>
      <c r="F118">
        <v>2.573</v>
      </c>
      <c r="G118">
        <v>81.207999999999998</v>
      </c>
      <c r="H118">
        <v>79.882999999999996</v>
      </c>
      <c r="I118">
        <v>5.2460000000000004</v>
      </c>
      <c r="J118">
        <v>7.891</v>
      </c>
      <c r="K118">
        <v>54388.52</v>
      </c>
      <c r="L118">
        <v>20.428999999999998</v>
      </c>
      <c r="M118">
        <f t="shared" si="13"/>
        <v>2.1919444444444445E-6</v>
      </c>
      <c r="N118">
        <v>281.68039499999998</v>
      </c>
      <c r="O118">
        <v>353.81929499999995</v>
      </c>
      <c r="P118">
        <v>909.94153599999981</v>
      </c>
      <c r="Q118">
        <v>716.73772799999995</v>
      </c>
      <c r="R118">
        <f t="shared" si="14"/>
        <v>1.7413290846869609</v>
      </c>
      <c r="S118">
        <v>1.6863424861604104</v>
      </c>
      <c r="T118">
        <v>72.138899999999978</v>
      </c>
      <c r="U118">
        <v>193.20380799999987</v>
      </c>
      <c r="V118">
        <v>556.1222409999998</v>
      </c>
      <c r="W118">
        <v>0.21769477836798104</v>
      </c>
      <c r="X118">
        <f t="shared" si="15"/>
        <v>0.67050639364387477</v>
      </c>
      <c r="Y118">
        <f t="shared" si="16"/>
        <v>1.7349578011902276</v>
      </c>
      <c r="AA118" s="3">
        <f t="shared" si="17"/>
        <v>722.78988630889353</v>
      </c>
      <c r="AB118" s="6">
        <f t="shared" si="18"/>
        <v>709.2094753134005</v>
      </c>
      <c r="AC118" s="3">
        <f t="shared" si="19"/>
        <v>704.35932852929591</v>
      </c>
      <c r="AD118">
        <f t="shared" si="20"/>
        <v>441.44025566271989</v>
      </c>
      <c r="AE118">
        <f t="shared" si="21"/>
        <v>1.2609341877634561</v>
      </c>
      <c r="AF118">
        <f t="shared" si="22"/>
        <v>4.3139009816413589E-2</v>
      </c>
      <c r="AG118">
        <f t="shared" si="23"/>
        <v>4.4826807038635813E-2</v>
      </c>
      <c r="AI118" s="7">
        <f t="shared" si="25"/>
        <v>445.24836101272956</v>
      </c>
    </row>
    <row r="119" spans="1:35" x14ac:dyDescent="0.25">
      <c r="A119">
        <v>138.78200000000001</v>
      </c>
      <c r="B119">
        <v>7.0419999999999998</v>
      </c>
      <c r="C119">
        <v>78.902000000000001</v>
      </c>
      <c r="D119">
        <v>520.92200000000003</v>
      </c>
      <c r="E119">
        <v>351.149</v>
      </c>
      <c r="F119">
        <v>2.5529999999999999</v>
      </c>
      <c r="G119">
        <v>81.194999999999993</v>
      </c>
      <c r="H119">
        <v>79.91</v>
      </c>
      <c r="I119">
        <v>5.3949999999999996</v>
      </c>
      <c r="J119">
        <v>7.8739999999999997</v>
      </c>
      <c r="K119">
        <v>54385.381999999998</v>
      </c>
      <c r="L119">
        <v>21.29</v>
      </c>
      <c r="M119">
        <f t="shared" si="13"/>
        <v>2.187222222222222E-6</v>
      </c>
      <c r="N119">
        <v>281.59295999999995</v>
      </c>
      <c r="O119">
        <v>353.81225999999992</v>
      </c>
      <c r="P119">
        <v>911.59465599999999</v>
      </c>
      <c r="Q119">
        <v>716.69525199999987</v>
      </c>
      <c r="R119">
        <f t="shared" si="14"/>
        <v>1.7415348929308929</v>
      </c>
      <c r="S119">
        <v>1.6842830249322742</v>
      </c>
      <c r="T119">
        <v>72.219299999999976</v>
      </c>
      <c r="U119">
        <v>194.89940400000012</v>
      </c>
      <c r="V119">
        <v>557.78239600000006</v>
      </c>
      <c r="W119">
        <v>0.21994258850722159</v>
      </c>
      <c r="X119">
        <f t="shared" si="15"/>
        <v>0.66970631028396799</v>
      </c>
      <c r="Y119">
        <f t="shared" si="16"/>
        <v>1.750843779910775</v>
      </c>
      <c r="AA119" s="3">
        <f t="shared" si="17"/>
        <v>724.25619952565421</v>
      </c>
      <c r="AB119" s="6">
        <f t="shared" si="18"/>
        <v>710.68090498897595</v>
      </c>
      <c r="AC119" s="3">
        <f t="shared" si="19"/>
        <v>705.83258551159076</v>
      </c>
      <c r="AD119">
        <f t="shared" si="20"/>
        <v>445.34576887480233</v>
      </c>
      <c r="AE119">
        <f t="shared" si="21"/>
        <v>1.2609341877634561</v>
      </c>
      <c r="AF119">
        <f t="shared" si="22"/>
        <v>4.3139009816413589E-2</v>
      </c>
      <c r="AG119">
        <f t="shared" si="23"/>
        <v>4.4823170927524698E-2</v>
      </c>
      <c r="AI119" s="7">
        <f t="shared" si="25"/>
        <v>449.90259249713017</v>
      </c>
    </row>
    <row r="120" spans="1:35" x14ac:dyDescent="0.25">
      <c r="A120">
        <v>139.78200000000001</v>
      </c>
      <c r="B120">
        <v>6.9820000000000002</v>
      </c>
      <c r="C120">
        <v>78.774000000000001</v>
      </c>
      <c r="D120">
        <v>519.73199999999997</v>
      </c>
      <c r="E120">
        <v>351.27300000000002</v>
      </c>
      <c r="F120">
        <v>2.589</v>
      </c>
      <c r="G120">
        <v>81.501999999999995</v>
      </c>
      <c r="H120">
        <v>80.069000000000003</v>
      </c>
      <c r="I120">
        <v>5.3140000000000001</v>
      </c>
      <c r="J120">
        <v>7.7220000000000004</v>
      </c>
      <c r="K120">
        <v>54357.811999999998</v>
      </c>
      <c r="L120">
        <v>19.908000000000001</v>
      </c>
      <c r="M120">
        <f t="shared" si="13"/>
        <v>2.1450000000000002E-6</v>
      </c>
      <c r="N120">
        <v>281.53265999999996</v>
      </c>
      <c r="O120">
        <v>353.68361999999996</v>
      </c>
      <c r="P120">
        <v>910.22853599999985</v>
      </c>
      <c r="Q120">
        <v>716.83760399999994</v>
      </c>
      <c r="R120">
        <f t="shared" si="14"/>
        <v>1.74383772115865</v>
      </c>
      <c r="S120">
        <v>1.6869979965813224</v>
      </c>
      <c r="T120">
        <v>72.150959999999998</v>
      </c>
      <c r="U120">
        <v>193.39093199999991</v>
      </c>
      <c r="V120">
        <v>556.54491599999983</v>
      </c>
      <c r="W120">
        <v>0.21784400236979246</v>
      </c>
      <c r="X120">
        <f t="shared" si="15"/>
        <v>0.67192365360058104</v>
      </c>
      <c r="Y120">
        <f t="shared" si="16"/>
        <v>1.734882762414506</v>
      </c>
      <c r="AA120" s="3">
        <f t="shared" si="17"/>
        <v>722.9692182099526</v>
      </c>
      <c r="AB120" s="6">
        <f t="shared" si="18"/>
        <v>709.37506619522117</v>
      </c>
      <c r="AC120" s="3">
        <f t="shared" si="19"/>
        <v>704.52001190424562</v>
      </c>
      <c r="AD120">
        <f t="shared" si="20"/>
        <v>441.6445901222246</v>
      </c>
      <c r="AE120">
        <f t="shared" si="21"/>
        <v>1.2609341877634561</v>
      </c>
      <c r="AF120">
        <f t="shared" si="22"/>
        <v>4.3139009816413589E-2</v>
      </c>
      <c r="AG120">
        <f t="shared" si="23"/>
        <v>4.4790659816413586E-2</v>
      </c>
      <c r="AI120" s="7">
        <f t="shared" si="25"/>
        <v>445.26700088854994</v>
      </c>
    </row>
    <row r="121" spans="1:35" x14ac:dyDescent="0.25">
      <c r="A121">
        <v>140.78200000000001</v>
      </c>
      <c r="B121">
        <v>6.9379999999999997</v>
      </c>
      <c r="C121">
        <v>78.753</v>
      </c>
      <c r="D121">
        <v>518.43799999999999</v>
      </c>
      <c r="E121">
        <v>350.875</v>
      </c>
      <c r="F121">
        <v>2.556</v>
      </c>
      <c r="G121">
        <v>81.02</v>
      </c>
      <c r="H121">
        <v>79.61</v>
      </c>
      <c r="I121">
        <v>5.44</v>
      </c>
      <c r="J121">
        <v>7.7220000000000004</v>
      </c>
      <c r="K121">
        <v>54340.61</v>
      </c>
      <c r="L121">
        <v>20.265000000000001</v>
      </c>
      <c r="M121">
        <f t="shared" si="13"/>
        <v>2.1450000000000002E-6</v>
      </c>
      <c r="N121">
        <v>281.48843999999991</v>
      </c>
      <c r="O121">
        <v>353.66251499999993</v>
      </c>
      <c r="P121">
        <v>908.74302399999988</v>
      </c>
      <c r="Q121">
        <v>716.38069999999993</v>
      </c>
      <c r="R121">
        <f t="shared" si="14"/>
        <v>1.7398355585728293</v>
      </c>
      <c r="S121">
        <v>1.6808334863227465</v>
      </c>
      <c r="T121">
        <v>72.174075000000016</v>
      </c>
      <c r="U121">
        <v>192.36232399999994</v>
      </c>
      <c r="V121">
        <v>555.08050899999989</v>
      </c>
      <c r="W121">
        <v>0.21652399435988834</v>
      </c>
      <c r="X121">
        <f t="shared" si="15"/>
        <v>0.66860270024515744</v>
      </c>
      <c r="Y121">
        <f t="shared" si="16"/>
        <v>1.7398828694536104</v>
      </c>
      <c r="AA121" s="3">
        <f t="shared" si="17"/>
        <v>722.24691841449805</v>
      </c>
      <c r="AB121" s="6">
        <f t="shared" si="18"/>
        <v>708.76393032842827</v>
      </c>
      <c r="AC121" s="3">
        <f t="shared" si="19"/>
        <v>703.94857744054616</v>
      </c>
      <c r="AD121">
        <f t="shared" si="20"/>
        <v>441.09022210209031</v>
      </c>
      <c r="AE121">
        <f t="shared" si="21"/>
        <v>1.2609341877634561</v>
      </c>
      <c r="AF121">
        <f t="shared" si="22"/>
        <v>4.3139009816413589E-2</v>
      </c>
      <c r="AG121">
        <f t="shared" si="23"/>
        <v>4.4790659816413586E-2</v>
      </c>
      <c r="AI121" s="7">
        <f t="shared" si="25"/>
        <v>445.09007512008606</v>
      </c>
    </row>
    <row r="122" spans="1:35" x14ac:dyDescent="0.25">
      <c r="A122">
        <v>141.78200000000001</v>
      </c>
      <c r="B122">
        <v>6.8979999999999997</v>
      </c>
      <c r="C122">
        <v>78.754000000000005</v>
      </c>
      <c r="D122">
        <v>516.62900000000002</v>
      </c>
      <c r="E122">
        <v>350.36200000000002</v>
      </c>
      <c r="F122">
        <v>2.5619999999999998</v>
      </c>
      <c r="G122">
        <v>81.313000000000002</v>
      </c>
      <c r="H122">
        <v>79.853999999999999</v>
      </c>
      <c r="I122">
        <v>5.3460000000000001</v>
      </c>
      <c r="J122">
        <v>9.0839999999999996</v>
      </c>
      <c r="K122">
        <v>54309.417000000001</v>
      </c>
      <c r="L122">
        <v>20.457000000000001</v>
      </c>
      <c r="M122">
        <f t="shared" si="13"/>
        <v>2.5233333333333335E-6</v>
      </c>
      <c r="N122">
        <v>281.44824</v>
      </c>
      <c r="O122">
        <v>353.66351999999995</v>
      </c>
      <c r="P122">
        <v>906.66629199999988</v>
      </c>
      <c r="Q122">
        <v>715.79177599999991</v>
      </c>
      <c r="R122">
        <f t="shared" si="14"/>
        <v>1.7424996700043369</v>
      </c>
      <c r="S122">
        <v>1.6845267625819964</v>
      </c>
      <c r="T122">
        <v>72.21527999999995</v>
      </c>
      <c r="U122">
        <v>190.87451599999997</v>
      </c>
      <c r="V122">
        <v>553.00277199999994</v>
      </c>
      <c r="W122">
        <v>0.21457258807375387</v>
      </c>
      <c r="X122">
        <f t="shared" si="15"/>
        <v>0.67012207056158757</v>
      </c>
      <c r="Y122">
        <f t="shared" si="16"/>
        <v>1.7235595365725798</v>
      </c>
      <c r="AA122" s="3">
        <f t="shared" si="17"/>
        <v>720.32260034579588</v>
      </c>
      <c r="AB122" s="6">
        <f t="shared" si="18"/>
        <v>706.81718930192278</v>
      </c>
      <c r="AC122" s="3">
        <f t="shared" si="19"/>
        <v>701.99382821482527</v>
      </c>
      <c r="AD122">
        <f t="shared" si="20"/>
        <v>437.34278848200393</v>
      </c>
      <c r="AE122">
        <f t="shared" si="21"/>
        <v>1.2609341877634561</v>
      </c>
      <c r="AF122">
        <f t="shared" si="22"/>
        <v>4.3139009816413589E-2</v>
      </c>
      <c r="AG122">
        <f t="shared" si="23"/>
        <v>4.5081976483080252E-2</v>
      </c>
      <c r="AI122" s="7">
        <f t="shared" si="25"/>
        <v>438.95095961030393</v>
      </c>
    </row>
    <row r="123" spans="1:35" x14ac:dyDescent="0.25">
      <c r="A123">
        <v>142.78200000000001</v>
      </c>
      <c r="B123">
        <v>6.8620000000000001</v>
      </c>
      <c r="C123">
        <v>78.715999999999994</v>
      </c>
      <c r="D123">
        <v>518.13499999999999</v>
      </c>
      <c r="E123">
        <v>350.62099999999998</v>
      </c>
      <c r="F123">
        <v>2.5670000000000002</v>
      </c>
      <c r="G123">
        <v>80.989000000000004</v>
      </c>
      <c r="H123">
        <v>79.540000000000006</v>
      </c>
      <c r="I123">
        <v>5.3049999999999997</v>
      </c>
      <c r="J123">
        <v>8.2520000000000007</v>
      </c>
      <c r="K123">
        <v>54306.845000000001</v>
      </c>
      <c r="L123">
        <v>20.062000000000001</v>
      </c>
      <c r="M123">
        <f t="shared" si="13"/>
        <v>2.2922222222222223E-6</v>
      </c>
      <c r="N123">
        <v>281.41206</v>
      </c>
      <c r="O123">
        <v>353.62532999999996</v>
      </c>
      <c r="P123">
        <v>908.39517999999987</v>
      </c>
      <c r="Q123">
        <v>716.0891079999999</v>
      </c>
      <c r="R123">
        <f t="shared" si="14"/>
        <v>1.7393628555535652</v>
      </c>
      <c r="S123">
        <v>1.6822756307155002</v>
      </c>
      <c r="T123">
        <v>72.213269999999966</v>
      </c>
      <c r="U123">
        <v>192.30607199999997</v>
      </c>
      <c r="V123">
        <v>554.76984999999991</v>
      </c>
      <c r="W123">
        <v>0.21647319514569877</v>
      </c>
      <c r="X123">
        <f t="shared" si="15"/>
        <v>0.66770407983470859</v>
      </c>
      <c r="Y123">
        <f t="shared" si="16"/>
        <v>1.7373531978400085</v>
      </c>
      <c r="AA123" s="3">
        <f t="shared" si="17"/>
        <v>721.86326114462486</v>
      </c>
      <c r="AB123" s="6">
        <f t="shared" si="18"/>
        <v>708.36458970052411</v>
      </c>
      <c r="AC123" s="3">
        <f t="shared" si="19"/>
        <v>703.54363561334526</v>
      </c>
      <c r="AD123">
        <f t="shared" si="20"/>
        <v>440.71179012184757</v>
      </c>
      <c r="AE123">
        <f t="shared" si="21"/>
        <v>1.2609341877634561</v>
      </c>
      <c r="AF123">
        <f t="shared" si="22"/>
        <v>4.3139009816413589E-2</v>
      </c>
      <c r="AG123">
        <f t="shared" si="23"/>
        <v>4.4904020927524699E-2</v>
      </c>
      <c r="AI123" s="7">
        <f t="shared" si="25"/>
        <v>443.45103838836252</v>
      </c>
    </row>
    <row r="124" spans="1:35" x14ac:dyDescent="0.25">
      <c r="A124">
        <v>143.78200000000001</v>
      </c>
      <c r="B124">
        <v>6.9</v>
      </c>
      <c r="C124">
        <v>78.760000000000005</v>
      </c>
      <c r="D124">
        <v>518.23099999999999</v>
      </c>
      <c r="E124">
        <v>349.846</v>
      </c>
      <c r="F124">
        <v>2.5659999999999998</v>
      </c>
      <c r="G124">
        <v>81.269000000000005</v>
      </c>
      <c r="H124">
        <v>79.878</v>
      </c>
      <c r="I124">
        <v>5.4850000000000003</v>
      </c>
      <c r="J124">
        <v>8.23</v>
      </c>
      <c r="K124">
        <v>54300.173000000003</v>
      </c>
      <c r="L124">
        <v>21.021999999999998</v>
      </c>
      <c r="M124">
        <f t="shared" si="13"/>
        <v>2.2861111111111114E-6</v>
      </c>
      <c r="N124">
        <v>281.45024999999993</v>
      </c>
      <c r="O124">
        <v>353.66954999999996</v>
      </c>
      <c r="P124">
        <v>908.50538799999993</v>
      </c>
      <c r="Q124">
        <v>715.19940799999995</v>
      </c>
      <c r="R124">
        <f t="shared" si="14"/>
        <v>1.74201912017046</v>
      </c>
      <c r="S124">
        <v>1.682598522732486</v>
      </c>
      <c r="T124">
        <v>72.219300000000032</v>
      </c>
      <c r="U124">
        <v>193.30597999999998</v>
      </c>
      <c r="V124">
        <v>554.83583799999997</v>
      </c>
      <c r="W124">
        <v>0.21823875046802574</v>
      </c>
      <c r="X124">
        <f t="shared" si="15"/>
        <v>0.6697296433661134</v>
      </c>
      <c r="Y124">
        <f t="shared" si="16"/>
        <v>1.7455717187639783</v>
      </c>
      <c r="AA124" s="3">
        <f t="shared" si="17"/>
        <v>721.92684999472442</v>
      </c>
      <c r="AB124" s="6">
        <f t="shared" si="18"/>
        <v>708.42187638258758</v>
      </c>
      <c r="AC124" s="3">
        <f t="shared" si="19"/>
        <v>703.59867152111008</v>
      </c>
      <c r="AD124">
        <f t="shared" si="20"/>
        <v>442.87448806001584</v>
      </c>
      <c r="AE124">
        <f t="shared" si="21"/>
        <v>1.2609341877634561</v>
      </c>
      <c r="AF124">
        <f t="shared" si="22"/>
        <v>4.3139009816413589E-2</v>
      </c>
      <c r="AG124">
        <f t="shared" si="23"/>
        <v>4.4899315371969145E-2</v>
      </c>
      <c r="AI124" s="7">
        <f t="shared" si="25"/>
        <v>446.53331859323652</v>
      </c>
    </row>
    <row r="125" spans="1:35" x14ac:dyDescent="0.25">
      <c r="A125">
        <v>144.78200000000001</v>
      </c>
      <c r="B125">
        <v>6.8529999999999998</v>
      </c>
      <c r="C125">
        <v>78.808000000000007</v>
      </c>
      <c r="D125">
        <v>517.63800000000003</v>
      </c>
      <c r="E125">
        <v>350.45600000000002</v>
      </c>
      <c r="F125">
        <v>2.5640000000000001</v>
      </c>
      <c r="G125">
        <v>80.548000000000002</v>
      </c>
      <c r="H125">
        <v>79.234999999999999</v>
      </c>
      <c r="I125">
        <v>5.3819999999999997</v>
      </c>
      <c r="J125">
        <v>7.57</v>
      </c>
      <c r="K125">
        <v>54293.606</v>
      </c>
      <c r="L125">
        <v>20.478999999999999</v>
      </c>
      <c r="M125">
        <f t="shared" si="13"/>
        <v>2.102777777777778E-6</v>
      </c>
      <c r="N125">
        <v>281.40301499999998</v>
      </c>
      <c r="O125">
        <v>353.71778999999992</v>
      </c>
      <c r="P125">
        <v>907.82462399999997</v>
      </c>
      <c r="Q125">
        <v>715.89968799999997</v>
      </c>
      <c r="R125">
        <f t="shared" si="14"/>
        <v>1.7352541861517576</v>
      </c>
      <c r="S125">
        <v>1.6782847486269541</v>
      </c>
      <c r="T125">
        <v>72.314774999999941</v>
      </c>
      <c r="U125">
        <v>191.924936</v>
      </c>
      <c r="V125">
        <v>554.10683400000005</v>
      </c>
      <c r="W125">
        <v>0.21586119076813273</v>
      </c>
      <c r="X125">
        <f t="shared" si="15"/>
        <v>0.66366653180771074</v>
      </c>
      <c r="Y125">
        <f t="shared" si="16"/>
        <v>1.7424526049746607</v>
      </c>
      <c r="AA125" s="3">
        <f t="shared" si="17"/>
        <v>721.70661456871562</v>
      </c>
      <c r="AB125" s="6">
        <f t="shared" si="18"/>
        <v>708.274122957077</v>
      </c>
      <c r="AC125" s="3">
        <f t="shared" si="19"/>
        <v>703.47680452434895</v>
      </c>
      <c r="AD125">
        <f t="shared" si="20"/>
        <v>440.90589734029277</v>
      </c>
      <c r="AE125">
        <f t="shared" si="21"/>
        <v>1.2609341877634561</v>
      </c>
      <c r="AF125">
        <f t="shared" si="22"/>
        <v>4.3139009816413589E-2</v>
      </c>
      <c r="AG125">
        <f t="shared" si="23"/>
        <v>4.4758148705302481E-2</v>
      </c>
      <c r="AI125" s="7">
        <f t="shared" si="25"/>
        <v>445.43499982722727</v>
      </c>
    </row>
    <row r="126" spans="1:35" x14ac:dyDescent="0.25">
      <c r="A126">
        <v>145.78200000000001</v>
      </c>
      <c r="B126">
        <v>6.7629999999999999</v>
      </c>
      <c r="C126">
        <v>78.680000000000007</v>
      </c>
      <c r="D126">
        <v>515.79899999999998</v>
      </c>
      <c r="E126">
        <v>350.10700000000003</v>
      </c>
      <c r="F126">
        <v>2.581</v>
      </c>
      <c r="G126">
        <v>80.83</v>
      </c>
      <c r="H126">
        <v>79.442999999999998</v>
      </c>
      <c r="I126">
        <v>5.5060000000000002</v>
      </c>
      <c r="J126">
        <v>8.2520000000000007</v>
      </c>
      <c r="K126">
        <v>54266.116000000002</v>
      </c>
      <c r="L126">
        <v>20.254000000000001</v>
      </c>
      <c r="M126">
        <f t="shared" si="13"/>
        <v>2.2922222222222223E-6</v>
      </c>
      <c r="N126">
        <v>281.31256499999995</v>
      </c>
      <c r="O126">
        <v>353.58914999999996</v>
      </c>
      <c r="P126">
        <v>905.71345199999985</v>
      </c>
      <c r="Q126">
        <v>715.49903600000005</v>
      </c>
      <c r="R126">
        <f t="shared" si="14"/>
        <v>1.7376344491473494</v>
      </c>
      <c r="S126">
        <v>1.6782837641964661</v>
      </c>
      <c r="T126">
        <v>72.276585000000011</v>
      </c>
      <c r="U126">
        <v>190.2144159999998</v>
      </c>
      <c r="V126">
        <v>552.12430199999994</v>
      </c>
      <c r="W126">
        <v>0.213607389808391</v>
      </c>
      <c r="X126">
        <f t="shared" si="15"/>
        <v>0.66558845992955085</v>
      </c>
      <c r="Y126">
        <f t="shared" si="16"/>
        <v>1.7309503027064708</v>
      </c>
      <c r="AA126" s="3">
        <f t="shared" si="17"/>
        <v>720.02833843422991</v>
      </c>
      <c r="AB126" s="6">
        <f t="shared" si="18"/>
        <v>706.62709868533011</v>
      </c>
      <c r="AC126" s="3">
        <f t="shared" si="19"/>
        <v>701.84094163215161</v>
      </c>
      <c r="AD126">
        <f t="shared" si="20"/>
        <v>437.51313875301827</v>
      </c>
      <c r="AE126">
        <f t="shared" si="21"/>
        <v>1.2609341877634561</v>
      </c>
      <c r="AF126">
        <f t="shared" si="22"/>
        <v>4.3139009816413589E-2</v>
      </c>
      <c r="AG126">
        <f t="shared" si="23"/>
        <v>4.4904020927524699E-2</v>
      </c>
      <c r="AI126" s="7">
        <f t="shared" si="25"/>
        <v>440.5701141836031</v>
      </c>
    </row>
    <row r="127" spans="1:35" x14ac:dyDescent="0.25">
      <c r="A127">
        <v>146.78200000000001</v>
      </c>
      <c r="B127">
        <v>6.6749999999999998</v>
      </c>
      <c r="C127">
        <v>78.617999999999995</v>
      </c>
      <c r="D127">
        <v>513.78899999999999</v>
      </c>
      <c r="E127">
        <v>349.60399999999998</v>
      </c>
      <c r="F127">
        <v>2.5379999999999998</v>
      </c>
      <c r="G127">
        <v>80.685000000000002</v>
      </c>
      <c r="H127">
        <v>79.224000000000004</v>
      </c>
      <c r="I127">
        <v>5.2649999999999997</v>
      </c>
      <c r="J127">
        <v>7.343</v>
      </c>
      <c r="K127">
        <v>54248.347999999998</v>
      </c>
      <c r="L127">
        <v>20.050999999999998</v>
      </c>
      <c r="M127">
        <f t="shared" si="13"/>
        <v>2.0397222222222221E-6</v>
      </c>
      <c r="N127">
        <v>281.22412499999996</v>
      </c>
      <c r="O127">
        <v>353.52683999999994</v>
      </c>
      <c r="P127">
        <v>903.40597199999991</v>
      </c>
      <c r="Q127">
        <v>714.92159199999981</v>
      </c>
      <c r="R127">
        <f t="shared" si="14"/>
        <v>1.7369716516720421</v>
      </c>
      <c r="S127">
        <v>1.6799889670390289</v>
      </c>
      <c r="T127">
        <v>72.302714999999978</v>
      </c>
      <c r="U127">
        <v>188.4843800000001</v>
      </c>
      <c r="V127">
        <v>549.87913200000003</v>
      </c>
      <c r="W127">
        <v>0.21128582308157154</v>
      </c>
      <c r="X127">
        <f t="shared" si="15"/>
        <v>0.66464229885273562</v>
      </c>
      <c r="Y127">
        <f t="shared" si="16"/>
        <v>1.7164348909790352</v>
      </c>
      <c r="AA127" s="3">
        <f t="shared" si="17"/>
        <v>718.06764308382094</v>
      </c>
      <c r="AB127" s="6">
        <f t="shared" si="18"/>
        <v>704.67599035011949</v>
      </c>
      <c r="AC127" s="3">
        <f t="shared" si="19"/>
        <v>699.89325723094032</v>
      </c>
      <c r="AD127">
        <f t="shared" si="20"/>
        <v>433.69677177017883</v>
      </c>
      <c r="AE127">
        <f t="shared" si="21"/>
        <v>1.2609341877634561</v>
      </c>
      <c r="AF127">
        <f t="shared" si="22"/>
        <v>4.3139009816413589E-2</v>
      </c>
      <c r="AG127">
        <f t="shared" si="23"/>
        <v>4.4709595927524701E-2</v>
      </c>
      <c r="AI127" s="7">
        <f t="shared" si="25"/>
        <v>438.51260553695801</v>
      </c>
    </row>
    <row r="128" spans="1:35" x14ac:dyDescent="0.25">
      <c r="A128">
        <v>147.78200000000001</v>
      </c>
      <c r="B128">
        <v>6.7270000000000003</v>
      </c>
      <c r="C128">
        <v>78.515000000000001</v>
      </c>
      <c r="D128">
        <v>513.77300000000002</v>
      </c>
      <c r="E128">
        <v>349.20299999999997</v>
      </c>
      <c r="F128">
        <v>2.536</v>
      </c>
      <c r="G128">
        <v>81.096999999999994</v>
      </c>
      <c r="H128">
        <v>79.658000000000001</v>
      </c>
      <c r="I128">
        <v>5.4649999999999999</v>
      </c>
      <c r="J128">
        <v>7.4189999999999996</v>
      </c>
      <c r="K128">
        <v>54236.798999999999</v>
      </c>
      <c r="L128">
        <v>20.352</v>
      </c>
      <c r="M128">
        <f t="shared" si="13"/>
        <v>2.0608333333333332E-6</v>
      </c>
      <c r="N128">
        <v>281.27638499999995</v>
      </c>
      <c r="O128">
        <v>353.42332499999992</v>
      </c>
      <c r="P128">
        <v>903.3876039999999</v>
      </c>
      <c r="Q128">
        <v>714.46124399999985</v>
      </c>
      <c r="R128">
        <f t="shared" si="14"/>
        <v>1.7408898864536571</v>
      </c>
      <c r="S128">
        <v>1.680888358647272</v>
      </c>
      <c r="T128">
        <v>72.146939999999972</v>
      </c>
      <c r="U128">
        <v>188.92636000000005</v>
      </c>
      <c r="V128">
        <v>549.96427900000003</v>
      </c>
      <c r="W128">
        <v>0.21234000908629935</v>
      </c>
      <c r="X128">
        <f t="shared" si="15"/>
        <v>0.66914086043043586</v>
      </c>
      <c r="Y128">
        <f t="shared" si="16"/>
        <v>1.718834049818148</v>
      </c>
      <c r="AA128" s="3">
        <f t="shared" si="17"/>
        <v>717.9865020218873</v>
      </c>
      <c r="AB128" s="6">
        <f t="shared" si="18"/>
        <v>704.58218297058761</v>
      </c>
      <c r="AC128" s="3">
        <f t="shared" si="19"/>
        <v>699.79492616655205</v>
      </c>
      <c r="AD128">
        <f t="shared" si="20"/>
        <v>434.50915306868882</v>
      </c>
      <c r="AE128">
        <f t="shared" si="21"/>
        <v>1.2609341877634561</v>
      </c>
      <c r="AF128">
        <f t="shared" si="22"/>
        <v>4.3139009816413589E-2</v>
      </c>
      <c r="AG128">
        <f t="shared" si="23"/>
        <v>4.4725851483080253E-2</v>
      </c>
      <c r="AI128" s="7">
        <f t="shared" si="25"/>
        <v>439.44507476555629</v>
      </c>
    </row>
    <row r="129" spans="1:35" x14ac:dyDescent="0.25">
      <c r="A129">
        <v>148.78200000000001</v>
      </c>
      <c r="B129">
        <v>6.7560000000000002</v>
      </c>
      <c r="C129">
        <v>78.566999999999993</v>
      </c>
      <c r="D129">
        <v>511.76400000000001</v>
      </c>
      <c r="E129">
        <v>349.27499999999998</v>
      </c>
      <c r="F129">
        <v>2.5219999999999998</v>
      </c>
      <c r="G129">
        <v>81.046999999999997</v>
      </c>
      <c r="H129">
        <v>79.691999999999993</v>
      </c>
      <c r="I129">
        <v>5.3369999999999997</v>
      </c>
      <c r="J129">
        <v>7.4189999999999996</v>
      </c>
      <c r="K129">
        <v>54269.052000000003</v>
      </c>
      <c r="L129">
        <v>19.940999999999999</v>
      </c>
      <c r="M129">
        <f t="shared" si="13"/>
        <v>2.0608333333333332E-6</v>
      </c>
      <c r="N129">
        <v>281.30552999999992</v>
      </c>
      <c r="O129">
        <v>353.47558499999997</v>
      </c>
      <c r="P129">
        <v>901.0812719999999</v>
      </c>
      <c r="Q129">
        <v>714.54389999999989</v>
      </c>
      <c r="R129">
        <f t="shared" si="14"/>
        <v>1.7406481673614909</v>
      </c>
      <c r="S129">
        <v>1.6831775958543511</v>
      </c>
      <c r="T129">
        <v>72.170055000000048</v>
      </c>
      <c r="U129">
        <v>186.537372</v>
      </c>
      <c r="V129">
        <v>547.60568699999999</v>
      </c>
      <c r="W129">
        <v>0.20884976126991894</v>
      </c>
      <c r="X129">
        <f t="shared" si="15"/>
        <v>0.66881467834688735</v>
      </c>
      <c r="Y129">
        <f t="shared" si="16"/>
        <v>1.6972779435001686</v>
      </c>
      <c r="AA129" s="3">
        <f t="shared" si="17"/>
        <v>715.98475924245145</v>
      </c>
      <c r="AB129" s="6">
        <f t="shared" si="18"/>
        <v>702.58185131737253</v>
      </c>
      <c r="AC129" s="3">
        <f t="shared" si="19"/>
        <v>697.79509848698717</v>
      </c>
      <c r="AD129">
        <f t="shared" si="20"/>
        <v>428.9989867408633</v>
      </c>
      <c r="AE129">
        <f t="shared" si="21"/>
        <v>1.2609341877634561</v>
      </c>
      <c r="AF129">
        <f t="shared" si="22"/>
        <v>4.3139009816413589E-2</v>
      </c>
      <c r="AG129">
        <f t="shared" si="23"/>
        <v>4.4725851483080253E-2</v>
      </c>
      <c r="AI129" s="7">
        <f t="shared" si="25"/>
        <v>433.71940525286834</v>
      </c>
    </row>
    <row r="130" spans="1:35" x14ac:dyDescent="0.25">
      <c r="A130">
        <v>149.78200000000001</v>
      </c>
      <c r="B130">
        <v>6.9950000000000001</v>
      </c>
      <c r="C130">
        <v>78.585999999999999</v>
      </c>
      <c r="D130">
        <v>513.37599999999998</v>
      </c>
      <c r="E130">
        <v>349.57</v>
      </c>
      <c r="F130">
        <v>2.5329999999999999</v>
      </c>
      <c r="G130">
        <v>80.792000000000002</v>
      </c>
      <c r="H130">
        <v>79.347999999999999</v>
      </c>
      <c r="I130">
        <v>5.4480000000000004</v>
      </c>
      <c r="J130">
        <v>7.798</v>
      </c>
      <c r="K130">
        <v>54298.870999999999</v>
      </c>
      <c r="L130">
        <v>20.495000000000001</v>
      </c>
      <c r="M130">
        <f t="shared" si="13"/>
        <v>2.1661111111111113E-6</v>
      </c>
      <c r="N130">
        <v>281.54572499999995</v>
      </c>
      <c r="O130">
        <v>353.49467999999996</v>
      </c>
      <c r="P130">
        <v>902.93184799999983</v>
      </c>
      <c r="Q130">
        <v>714.88256000000001</v>
      </c>
      <c r="R130">
        <f t="shared" si="14"/>
        <v>1.7380626786000584</v>
      </c>
      <c r="S130">
        <v>1.6783052465396335</v>
      </c>
      <c r="T130">
        <v>71.948955000000012</v>
      </c>
      <c r="U130">
        <v>188.04928799999982</v>
      </c>
      <c r="V130">
        <v>549.43716799999993</v>
      </c>
      <c r="W130">
        <v>0.21130775229971305</v>
      </c>
      <c r="X130">
        <f t="shared" si="15"/>
        <v>0.6694961079345576</v>
      </c>
      <c r="Y130">
        <f t="shared" si="16"/>
        <v>1.7164796296525981</v>
      </c>
      <c r="AA130" s="3">
        <f t="shared" si="17"/>
        <v>717.81541470521836</v>
      </c>
      <c r="AB130" s="6">
        <f t="shared" si="18"/>
        <v>704.45502312012195</v>
      </c>
      <c r="AC130" s="3">
        <f t="shared" si="19"/>
        <v>699.68345469687324</v>
      </c>
      <c r="AD130">
        <f t="shared" si="20"/>
        <v>433.20158481219795</v>
      </c>
      <c r="AE130">
        <f t="shared" si="21"/>
        <v>1.2609341877634561</v>
      </c>
      <c r="AF130">
        <f t="shared" si="22"/>
        <v>4.3139009816413589E-2</v>
      </c>
      <c r="AG130">
        <f t="shared" si="23"/>
        <v>4.4806915371969146E-2</v>
      </c>
      <c r="AI130" s="7">
        <f t="shared" si="25"/>
        <v>437.57096393458329</v>
      </c>
    </row>
    <row r="131" spans="1:35" x14ac:dyDescent="0.25">
      <c r="A131">
        <v>150.78200000000001</v>
      </c>
      <c r="B131">
        <v>7.0750000000000002</v>
      </c>
      <c r="C131">
        <v>78.614000000000004</v>
      </c>
      <c r="D131">
        <v>513.79100000000005</v>
      </c>
      <c r="E131">
        <v>349.45699999999999</v>
      </c>
      <c r="F131">
        <v>2.5790000000000002</v>
      </c>
      <c r="G131">
        <v>80.923000000000002</v>
      </c>
      <c r="H131">
        <v>79.453000000000003</v>
      </c>
      <c r="I131">
        <v>5.3929999999999998</v>
      </c>
      <c r="J131">
        <v>8.3650000000000002</v>
      </c>
      <c r="K131">
        <v>54310.824000000001</v>
      </c>
      <c r="L131">
        <v>19.974</v>
      </c>
      <c r="M131">
        <f t="shared" si="13"/>
        <v>2.3236111111111115E-6</v>
      </c>
      <c r="N131">
        <v>281.62612499999994</v>
      </c>
      <c r="O131">
        <v>353.52281999999997</v>
      </c>
      <c r="P131">
        <v>903.40826800000002</v>
      </c>
      <c r="Q131">
        <v>714.75283599999989</v>
      </c>
      <c r="R131">
        <f t="shared" si="14"/>
        <v>1.7385439153838178</v>
      </c>
      <c r="S131">
        <v>1.680117179249355</v>
      </c>
      <c r="T131">
        <v>71.896695000000022</v>
      </c>
      <c r="U131">
        <v>188.65543200000013</v>
      </c>
      <c r="V131">
        <v>549.885448</v>
      </c>
      <c r="W131">
        <v>0.21233283663836855</v>
      </c>
      <c r="X131">
        <f t="shared" si="15"/>
        <v>0.67053693117644619</v>
      </c>
      <c r="Y131">
        <f t="shared" si="16"/>
        <v>1.7177515501678731</v>
      </c>
      <c r="AA131" s="3">
        <f t="shared" si="17"/>
        <v>718.05997934923312</v>
      </c>
      <c r="AB131" s="6">
        <f t="shared" si="18"/>
        <v>704.66644755602852</v>
      </c>
      <c r="AC131" s="3">
        <f t="shared" si="19"/>
        <v>699.88304334416966</v>
      </c>
      <c r="AD131">
        <f t="shared" si="20"/>
        <v>434.06046996777019</v>
      </c>
      <c r="AE131">
        <f t="shared" si="21"/>
        <v>1.2609341877634561</v>
      </c>
      <c r="AF131">
        <f t="shared" si="22"/>
        <v>4.3139009816413589E-2</v>
      </c>
      <c r="AG131">
        <f t="shared" si="23"/>
        <v>4.4928190371969143E-2</v>
      </c>
      <c r="AI131" s="7">
        <f t="shared" si="25"/>
        <v>436.74882934054</v>
      </c>
    </row>
    <row r="132" spans="1:35" x14ac:dyDescent="0.25">
      <c r="A132">
        <v>151.78200000000001</v>
      </c>
      <c r="B132">
        <v>7.0579999999999998</v>
      </c>
      <c r="C132">
        <v>78.704999999999998</v>
      </c>
      <c r="D132">
        <v>515.50699999999995</v>
      </c>
      <c r="E132">
        <v>349.11700000000002</v>
      </c>
      <c r="F132">
        <v>2.5649999999999999</v>
      </c>
      <c r="G132">
        <v>81.200999999999993</v>
      </c>
      <c r="H132">
        <v>79.792000000000002</v>
      </c>
      <c r="I132">
        <v>5.3230000000000004</v>
      </c>
      <c r="J132">
        <v>8.44</v>
      </c>
      <c r="K132">
        <v>54325.972000000002</v>
      </c>
      <c r="L132">
        <v>19.891999999999999</v>
      </c>
      <c r="M132">
        <f t="shared" si="13"/>
        <v>2.3444444444444444E-6</v>
      </c>
      <c r="N132">
        <v>281.60903999999994</v>
      </c>
      <c r="O132">
        <v>353.61427499999991</v>
      </c>
      <c r="P132">
        <v>905.37823599999979</v>
      </c>
      <c r="Q132">
        <v>714.36251600000003</v>
      </c>
      <c r="R132">
        <f t="shared" si="14"/>
        <v>1.7413944279451279</v>
      </c>
      <c r="S132">
        <v>1.6843130588202861</v>
      </c>
      <c r="T132">
        <v>72.005234999999971</v>
      </c>
      <c r="U132">
        <v>191.01571999999976</v>
      </c>
      <c r="V132">
        <v>551.76396099999988</v>
      </c>
      <c r="W132">
        <v>0.21569093563905276</v>
      </c>
      <c r="X132">
        <f t="shared" si="15"/>
        <v>0.67163003356561668</v>
      </c>
      <c r="Y132">
        <f t="shared" si="16"/>
        <v>1.7276820003159714</v>
      </c>
      <c r="AA132" s="3">
        <f t="shared" si="17"/>
        <v>719.31507250518905</v>
      </c>
      <c r="AB132" s="6">
        <f t="shared" si="18"/>
        <v>705.83191993675359</v>
      </c>
      <c r="AC132" s="3">
        <f t="shared" si="19"/>
        <v>701.01650830516951</v>
      </c>
      <c r="AD132">
        <f t="shared" si="20"/>
        <v>438.02403606969574</v>
      </c>
      <c r="AE132">
        <f t="shared" si="21"/>
        <v>1.2609341877634561</v>
      </c>
      <c r="AF132">
        <f t="shared" si="22"/>
        <v>4.3139009816413589E-2</v>
      </c>
      <c r="AG132">
        <f t="shared" si="23"/>
        <v>4.494423203863581E-2</v>
      </c>
      <c r="AI132" s="7">
        <f t="shared" si="25"/>
        <v>440.3224386732436</v>
      </c>
    </row>
    <row r="133" spans="1:35" x14ac:dyDescent="0.25">
      <c r="A133">
        <v>152.78200000000001</v>
      </c>
      <c r="B133">
        <v>7.1959999999999997</v>
      </c>
      <c r="C133">
        <v>78.760000000000005</v>
      </c>
      <c r="D133">
        <v>516.13199999999995</v>
      </c>
      <c r="E133">
        <v>349.43200000000002</v>
      </c>
      <c r="F133">
        <v>2.5670000000000002</v>
      </c>
      <c r="G133">
        <v>81.426000000000002</v>
      </c>
      <c r="H133">
        <v>80.010000000000005</v>
      </c>
      <c r="I133">
        <v>5.3719999999999999</v>
      </c>
      <c r="J133">
        <v>7.8730000000000002</v>
      </c>
      <c r="K133">
        <v>54373.097000000002</v>
      </c>
      <c r="L133">
        <v>20.242999999999999</v>
      </c>
      <c r="M133">
        <f t="shared" ref="M133" si="26">(J133/1000)/3600</f>
        <v>2.1869444444444446E-6</v>
      </c>
      <c r="N133">
        <v>281.74772999999999</v>
      </c>
      <c r="O133">
        <v>353.66954999999996</v>
      </c>
      <c r="P133">
        <v>906.09573599999987</v>
      </c>
      <c r="Q133">
        <v>714.72413599999993</v>
      </c>
      <c r="R133">
        <f t="shared" ref="R133:R196" si="27">(G133+103.5)/(F133+103.5)</f>
        <v>1.7434828928884571</v>
      </c>
      <c r="S133">
        <v>1.6855573517525166</v>
      </c>
      <c r="T133">
        <v>71.921819999999968</v>
      </c>
      <c r="U133">
        <v>191.37159999999994</v>
      </c>
      <c r="V133">
        <v>552.42618599999992</v>
      </c>
      <c r="W133">
        <v>0.21622758483791352</v>
      </c>
      <c r="X133">
        <f t="shared" ref="X133:X196" si="28">((B133+273.15)/(C133-B133)*((R133^(0.4/1.4)-1)))</f>
        <v>0.67431233107959487</v>
      </c>
      <c r="Y133">
        <f t="shared" ref="Y133:Y196" si="29">(D133-E133)/((D133+273.15)*(1-(1/S133^(0.333/1.333))))</f>
        <v>1.7272397170335037</v>
      </c>
      <c r="AA133" s="3">
        <f t="shared" ref="AA133:AA196" si="30">(D133+273.15)-((0.72*(D133+273.15))*(1-(1/S133^(0.333/1.333))))</f>
        <v>719.7930930368492</v>
      </c>
      <c r="AB133" s="6">
        <f t="shared" ref="AB133:AB196" si="31">(D133+273.15)-((0.86*(D133+273.15))*(1-(1/S133^(0.333/1.333))))</f>
        <v>706.28136112734762</v>
      </c>
      <c r="AC133" s="3">
        <f t="shared" ref="AC133:AC196" si="32">(D133+273.15)-((0.91*(D133+273.15))*(1-(1/S133^(0.333/1.333))))</f>
        <v>701.4557425882399</v>
      </c>
      <c r="AD133">
        <f t="shared" ref="AD133:AD196" si="33">SQRT(2*(1148)*(AB133-(E133+273.15)))</f>
        <v>438.37624610417726</v>
      </c>
      <c r="AE133">
        <f t="shared" ref="AE133:AE196" si="34">103500/(287*(12.85+273.15))</f>
        <v>1.2609341877634561</v>
      </c>
      <c r="AF133">
        <f t="shared" ref="AF133:AF196" si="35">(103500/(287*(12.85+273.15))*(PI()*(0.033^2)*10))</f>
        <v>4.3139009816413589E-2</v>
      </c>
      <c r="AG133">
        <f t="shared" ref="AG133:AG196" si="36">(AF133+(M133*770))</f>
        <v>4.4822957038635813E-2</v>
      </c>
      <c r="AI133" s="7">
        <f t="shared" ref="AI133:AI196" si="37">((L133)+(AF133*AD133)/AG133)</f>
        <v>442.14995200385653</v>
      </c>
    </row>
    <row r="134" spans="1:35" x14ac:dyDescent="0.25">
      <c r="A134">
        <v>153.78200000000001</v>
      </c>
      <c r="B134">
        <v>7.4219999999999997</v>
      </c>
      <c r="C134">
        <v>78.903999999999996</v>
      </c>
      <c r="D134">
        <v>518.52200000000005</v>
      </c>
      <c r="E134">
        <v>349.16800000000001</v>
      </c>
      <c r="F134">
        <v>2.573</v>
      </c>
      <c r="G134">
        <v>81.38</v>
      </c>
      <c r="H134">
        <v>80.015000000000001</v>
      </c>
      <c r="I134">
        <v>5.3449999999999998</v>
      </c>
      <c r="J134">
        <v>8.9710000000000001</v>
      </c>
      <c r="K134">
        <v>54417.586000000003</v>
      </c>
      <c r="L134">
        <v>20.632000000000001</v>
      </c>
      <c r="N134">
        <v>281.97485999999998</v>
      </c>
      <c r="O134">
        <v>353.81426999999991</v>
      </c>
      <c r="P134">
        <v>908.83945599999993</v>
      </c>
      <c r="Q134">
        <v>714.42106399999989</v>
      </c>
      <c r="R134">
        <f t="shared" si="27"/>
        <v>1.7429506094859202</v>
      </c>
      <c r="S134">
        <v>1.6860214065873489</v>
      </c>
      <c r="T134">
        <v>71.83940999999993</v>
      </c>
      <c r="U134">
        <v>194.41839200000004</v>
      </c>
      <c r="V134">
        <v>555.02518600000008</v>
      </c>
      <c r="W134">
        <v>0.22085300828132165</v>
      </c>
      <c r="X134">
        <f t="shared" si="28"/>
        <v>0.67522872628004416</v>
      </c>
      <c r="Y134">
        <f t="shared" si="29"/>
        <v>1.7485782641533023</v>
      </c>
      <c r="AA134" s="3">
        <f t="shared" si="30"/>
        <v>721.93827260573698</v>
      </c>
      <c r="AB134" s="6">
        <f t="shared" si="31"/>
        <v>708.37893672351925</v>
      </c>
      <c r="AC134" s="3">
        <f t="shared" si="32"/>
        <v>703.53631676558427</v>
      </c>
      <c r="AD134">
        <f t="shared" si="33"/>
        <v>444.51761575577655</v>
      </c>
      <c r="AE134">
        <f t="shared" si="34"/>
        <v>1.2609341877634561</v>
      </c>
      <c r="AF134">
        <f t="shared" si="35"/>
        <v>4.3139009816413589E-2</v>
      </c>
      <c r="AG134">
        <f t="shared" si="36"/>
        <v>4.3139009816413589E-2</v>
      </c>
      <c r="AI134" s="7">
        <f t="shared" si="37"/>
        <v>465.14961575577661</v>
      </c>
    </row>
    <row r="135" spans="1:35" x14ac:dyDescent="0.25">
      <c r="A135">
        <v>154.78200000000001</v>
      </c>
      <c r="B135">
        <v>7.5519999999999996</v>
      </c>
      <c r="C135">
        <v>78.897000000000006</v>
      </c>
      <c r="D135">
        <v>521.24900000000002</v>
      </c>
      <c r="E135">
        <v>349.57400000000001</v>
      </c>
      <c r="F135">
        <v>2.5830000000000002</v>
      </c>
      <c r="G135">
        <v>81.137</v>
      </c>
      <c r="H135">
        <v>79.825000000000003</v>
      </c>
      <c r="I135">
        <v>5.3840000000000003</v>
      </c>
      <c r="J135">
        <v>8.0250000000000004</v>
      </c>
      <c r="K135">
        <v>54434.828999999998</v>
      </c>
      <c r="L135">
        <v>20.510999999999999</v>
      </c>
      <c r="N135">
        <v>282.10550999999998</v>
      </c>
      <c r="O135">
        <v>353.80723499999993</v>
      </c>
      <c r="P135">
        <v>911.9700519999999</v>
      </c>
      <c r="Q135">
        <v>714.8871519999999</v>
      </c>
      <c r="R135">
        <f t="shared" si="27"/>
        <v>1.7404956496328348</v>
      </c>
      <c r="S135">
        <v>1.683672532236141</v>
      </c>
      <c r="T135">
        <v>71.701724999999954</v>
      </c>
      <c r="U135">
        <v>197.0829</v>
      </c>
      <c r="V135">
        <v>558.1628169999999</v>
      </c>
      <c r="W135">
        <v>0.22463190162665397</v>
      </c>
      <c r="X135">
        <f t="shared" si="28"/>
        <v>0.67498214109628807</v>
      </c>
      <c r="Y135">
        <f t="shared" si="29"/>
        <v>1.7708830885057176</v>
      </c>
      <c r="AA135" s="3">
        <f t="shared" si="30"/>
        <v>724.59992585315752</v>
      </c>
      <c r="AB135" s="6">
        <f t="shared" si="31"/>
        <v>711.0278836579381</v>
      </c>
      <c r="AC135" s="3">
        <f t="shared" si="32"/>
        <v>706.18072573107406</v>
      </c>
      <c r="AD135">
        <f t="shared" si="33"/>
        <v>450.27293598286144</v>
      </c>
      <c r="AE135">
        <f t="shared" si="34"/>
        <v>1.2609341877634561</v>
      </c>
      <c r="AF135">
        <f t="shared" si="35"/>
        <v>4.3139009816413589E-2</v>
      </c>
      <c r="AG135">
        <f t="shared" si="36"/>
        <v>4.3139009816413589E-2</v>
      </c>
      <c r="AI135" s="7">
        <f t="shared" si="37"/>
        <v>470.78393598286146</v>
      </c>
    </row>
    <row r="136" spans="1:35" x14ac:dyDescent="0.25">
      <c r="A136">
        <v>155.78200000000001</v>
      </c>
      <c r="B136">
        <v>7.4130000000000003</v>
      </c>
      <c r="C136">
        <v>78.950999999999993</v>
      </c>
      <c r="D136">
        <v>523.60400000000004</v>
      </c>
      <c r="E136">
        <v>349.61799999999999</v>
      </c>
      <c r="F136">
        <v>2.589</v>
      </c>
      <c r="G136">
        <v>81.462999999999994</v>
      </c>
      <c r="H136">
        <v>79.992999999999995</v>
      </c>
      <c r="I136">
        <v>5.5780000000000003</v>
      </c>
      <c r="J136">
        <v>8.1760000000000002</v>
      </c>
      <c r="K136">
        <v>54435.216999999997</v>
      </c>
      <c r="L136">
        <v>20.286999999999999</v>
      </c>
      <c r="N136">
        <v>281.96581499999996</v>
      </c>
      <c r="O136">
        <v>353.86150499999997</v>
      </c>
      <c r="P136">
        <v>914.67359199999999</v>
      </c>
      <c r="Q136">
        <v>714.93766399999993</v>
      </c>
      <c r="R136">
        <f t="shared" si="27"/>
        <v>1.7434701052889554</v>
      </c>
      <c r="S136">
        <v>1.6822182291571168</v>
      </c>
      <c r="T136">
        <v>71.895690000000002</v>
      </c>
      <c r="U136">
        <v>199.73592800000006</v>
      </c>
      <c r="V136">
        <v>560.81208700000002</v>
      </c>
      <c r="W136">
        <v>0.22795556829715771</v>
      </c>
      <c r="X136">
        <f t="shared" si="28"/>
        <v>0.67506990880429019</v>
      </c>
      <c r="Y136">
        <f t="shared" si="29"/>
        <v>1.7922008259369508</v>
      </c>
      <c r="AA136" s="3">
        <f t="shared" si="30"/>
        <v>726.85674396313277</v>
      </c>
      <c r="AB136" s="6">
        <f t="shared" si="31"/>
        <v>713.26561084485297</v>
      </c>
      <c r="AC136" s="3">
        <f t="shared" si="32"/>
        <v>708.41163473118172</v>
      </c>
      <c r="AD136">
        <f t="shared" si="33"/>
        <v>455.83167342757389</v>
      </c>
      <c r="AE136">
        <f t="shared" si="34"/>
        <v>1.2609341877634561</v>
      </c>
      <c r="AF136">
        <f t="shared" si="35"/>
        <v>4.3139009816413589E-2</v>
      </c>
      <c r="AG136">
        <f t="shared" si="36"/>
        <v>4.3139009816413589E-2</v>
      </c>
      <c r="AI136" s="7">
        <f t="shared" si="37"/>
        <v>476.11867342757387</v>
      </c>
    </row>
    <row r="137" spans="1:35" x14ac:dyDescent="0.25">
      <c r="A137">
        <v>156.78299999999999</v>
      </c>
      <c r="B137">
        <v>7.4050000000000002</v>
      </c>
      <c r="C137">
        <v>78.951999999999998</v>
      </c>
      <c r="D137">
        <v>524.23699999999997</v>
      </c>
      <c r="E137">
        <v>349.46699999999998</v>
      </c>
      <c r="F137">
        <v>2.59</v>
      </c>
      <c r="G137">
        <v>81.552000000000007</v>
      </c>
      <c r="H137">
        <v>80.134</v>
      </c>
      <c r="I137">
        <v>5.4480000000000004</v>
      </c>
      <c r="J137">
        <v>7.8360000000000003</v>
      </c>
      <c r="K137">
        <v>54438.750999999997</v>
      </c>
      <c r="L137">
        <v>20.571999999999999</v>
      </c>
      <c r="N137">
        <v>281.95777499999991</v>
      </c>
      <c r="O137">
        <v>353.86250999999993</v>
      </c>
      <c r="P137">
        <v>915.40027599999985</v>
      </c>
      <c r="Q137">
        <v>714.76431599999989</v>
      </c>
      <c r="R137">
        <f t="shared" si="27"/>
        <v>1.7442925817701953</v>
      </c>
      <c r="S137">
        <v>1.6855196974703528</v>
      </c>
      <c r="T137">
        <v>71.904735000000016</v>
      </c>
      <c r="U137">
        <v>200.63595999999995</v>
      </c>
      <c r="V137">
        <v>561.53776599999992</v>
      </c>
      <c r="W137">
        <v>0.22924767093937534</v>
      </c>
      <c r="X137">
        <f t="shared" si="28"/>
        <v>0.67558514240456446</v>
      </c>
      <c r="Y137">
        <f t="shared" si="29"/>
        <v>1.7925213929577211</v>
      </c>
      <c r="AA137" s="3">
        <f t="shared" si="30"/>
        <v>727.18733572019516</v>
      </c>
      <c r="AB137" s="6">
        <f t="shared" si="31"/>
        <v>713.53740099912204</v>
      </c>
      <c r="AC137" s="3">
        <f t="shared" si="32"/>
        <v>708.66242431302453</v>
      </c>
      <c r="AD137">
        <f t="shared" si="33"/>
        <v>456.89521850637078</v>
      </c>
      <c r="AE137">
        <f t="shared" si="34"/>
        <v>1.2609341877634561</v>
      </c>
      <c r="AF137">
        <f t="shared" si="35"/>
        <v>4.3139009816413589E-2</v>
      </c>
      <c r="AG137">
        <f t="shared" si="36"/>
        <v>4.3139009816413589E-2</v>
      </c>
      <c r="AI137" s="7">
        <f t="shared" si="37"/>
        <v>477.46721850637078</v>
      </c>
    </row>
    <row r="138" spans="1:35" x14ac:dyDescent="0.25">
      <c r="A138">
        <v>157.78299999999999</v>
      </c>
      <c r="B138">
        <v>7.3230000000000004</v>
      </c>
      <c r="C138">
        <v>78.968999999999994</v>
      </c>
      <c r="D138">
        <v>523.91</v>
      </c>
      <c r="E138">
        <v>350.21899999999999</v>
      </c>
      <c r="F138">
        <v>2.5779999999999998</v>
      </c>
      <c r="G138">
        <v>81.442999999999998</v>
      </c>
      <c r="H138">
        <v>79.879000000000005</v>
      </c>
      <c r="I138">
        <v>5.4059999999999997</v>
      </c>
      <c r="J138">
        <v>7.4950000000000001</v>
      </c>
      <c r="K138">
        <v>54434.237999999998</v>
      </c>
      <c r="L138">
        <v>20.835000000000001</v>
      </c>
      <c r="N138">
        <v>281.87536499999993</v>
      </c>
      <c r="O138">
        <v>353.87959499999994</v>
      </c>
      <c r="P138">
        <v>915.02487999999983</v>
      </c>
      <c r="Q138">
        <v>715.62761199999989</v>
      </c>
      <c r="R138">
        <f t="shared" si="27"/>
        <v>1.7434623578875919</v>
      </c>
      <c r="S138">
        <v>1.6838282555598407</v>
      </c>
      <c r="T138">
        <v>72.004230000000007</v>
      </c>
      <c r="U138">
        <v>199.39726799999994</v>
      </c>
      <c r="V138">
        <v>561.14528499999983</v>
      </c>
      <c r="W138">
        <v>0.22702327080944817</v>
      </c>
      <c r="X138">
        <f t="shared" si="28"/>
        <v>0.67383025008942421</v>
      </c>
      <c r="Y138">
        <f t="shared" si="29"/>
        <v>1.7854004559207306</v>
      </c>
      <c r="AA138" s="3">
        <f t="shared" si="30"/>
        <v>727.01547884773674</v>
      </c>
      <c r="AB138" s="6">
        <f t="shared" si="31"/>
        <v>713.39571084590784</v>
      </c>
      <c r="AC138" s="3">
        <f t="shared" si="32"/>
        <v>708.5315079881118</v>
      </c>
      <c r="AD138">
        <f t="shared" si="33"/>
        <v>454.64417746431616</v>
      </c>
      <c r="AE138">
        <f t="shared" si="34"/>
        <v>1.2609341877634561</v>
      </c>
      <c r="AF138">
        <f t="shared" si="35"/>
        <v>4.3139009816413589E-2</v>
      </c>
      <c r="AG138">
        <f t="shared" si="36"/>
        <v>4.3139009816413589E-2</v>
      </c>
      <c r="AI138" s="7">
        <f t="shared" si="37"/>
        <v>475.47917746431619</v>
      </c>
    </row>
    <row r="139" spans="1:35" x14ac:dyDescent="0.25">
      <c r="A139">
        <v>158.78299999999999</v>
      </c>
      <c r="B139">
        <v>7.2859999999999996</v>
      </c>
      <c r="C139">
        <v>78.926000000000002</v>
      </c>
      <c r="D139">
        <v>520.90099999999995</v>
      </c>
      <c r="E139">
        <v>349.55399999999997</v>
      </c>
      <c r="F139">
        <v>2.573</v>
      </c>
      <c r="G139">
        <v>81.418000000000006</v>
      </c>
      <c r="H139">
        <v>79.994</v>
      </c>
      <c r="I139">
        <v>5.4249999999999998</v>
      </c>
      <c r="J139">
        <v>7.1909999999999998</v>
      </c>
      <c r="K139">
        <v>54418.661999999997</v>
      </c>
      <c r="L139">
        <v>20.423999999999999</v>
      </c>
      <c r="N139">
        <v>281.83817999999997</v>
      </c>
      <c r="O139">
        <v>353.83637999999991</v>
      </c>
      <c r="P139">
        <v>911.5705479999998</v>
      </c>
      <c r="Q139">
        <v>714.86419199999989</v>
      </c>
      <c r="R139">
        <f t="shared" si="27"/>
        <v>1.743308853336853</v>
      </c>
      <c r="S139">
        <v>1.6845903144365388</v>
      </c>
      <c r="T139">
        <v>71.99819999999994</v>
      </c>
      <c r="U139">
        <v>196.70635599999991</v>
      </c>
      <c r="V139">
        <v>557.73416799999995</v>
      </c>
      <c r="W139">
        <v>0.22359784132859506</v>
      </c>
      <c r="X139">
        <f t="shared" si="28"/>
        <v>0.67368235862336756</v>
      </c>
      <c r="Y139">
        <f t="shared" si="29"/>
        <v>1.7665441810647695</v>
      </c>
      <c r="AA139" s="3">
        <f t="shared" si="30"/>
        <v>724.21417320428407</v>
      </c>
      <c r="AB139" s="6">
        <f t="shared" si="31"/>
        <v>710.63479021622823</v>
      </c>
      <c r="AC139" s="3">
        <f t="shared" si="32"/>
        <v>705.78501057763685</v>
      </c>
      <c r="AD139">
        <f t="shared" si="33"/>
        <v>449.32070321370696</v>
      </c>
      <c r="AE139">
        <f t="shared" si="34"/>
        <v>1.2609341877634561</v>
      </c>
      <c r="AF139">
        <f t="shared" si="35"/>
        <v>4.3139009816413589E-2</v>
      </c>
      <c r="AG139">
        <f t="shared" si="36"/>
        <v>4.3139009816413589E-2</v>
      </c>
      <c r="AI139" s="7">
        <f t="shared" si="37"/>
        <v>469.74470321370688</v>
      </c>
    </row>
    <row r="140" spans="1:35" x14ac:dyDescent="0.25">
      <c r="A140">
        <v>159.78399999999999</v>
      </c>
      <c r="B140">
        <v>7.2539999999999996</v>
      </c>
      <c r="C140">
        <v>78.858999999999995</v>
      </c>
      <c r="D140">
        <v>520.553</v>
      </c>
      <c r="E140">
        <v>349.91800000000001</v>
      </c>
      <c r="F140">
        <v>2.5510000000000002</v>
      </c>
      <c r="G140">
        <v>80.712999999999994</v>
      </c>
      <c r="H140">
        <v>79.346999999999994</v>
      </c>
      <c r="I140">
        <v>5.3890000000000002</v>
      </c>
      <c r="J140">
        <v>7.4950000000000001</v>
      </c>
      <c r="K140">
        <v>54408.779000000002</v>
      </c>
      <c r="L140">
        <v>20.177</v>
      </c>
      <c r="N140">
        <v>281.80601999999999</v>
      </c>
      <c r="O140">
        <v>353.76904499999989</v>
      </c>
      <c r="P140">
        <v>911.17104399999994</v>
      </c>
      <c r="Q140">
        <v>715.28206399999988</v>
      </c>
      <c r="R140">
        <f t="shared" si="27"/>
        <v>1.7370227532036473</v>
      </c>
      <c r="S140">
        <v>1.6792054293822147</v>
      </c>
      <c r="T140">
        <v>71.963024999999902</v>
      </c>
      <c r="U140">
        <v>195.88898000000006</v>
      </c>
      <c r="V140">
        <v>557.40199900000005</v>
      </c>
      <c r="W140">
        <v>0.22232779075483752</v>
      </c>
      <c r="X140">
        <f t="shared" si="28"/>
        <v>0.66919991434467618</v>
      </c>
      <c r="Y140">
        <f t="shared" si="29"/>
        <v>1.7701536406486085</v>
      </c>
      <c r="AA140" s="3">
        <f t="shared" si="30"/>
        <v>724.2981770632839</v>
      </c>
      <c r="AB140" s="6">
        <f t="shared" si="31"/>
        <v>710.8027948255891</v>
      </c>
      <c r="AC140" s="3">
        <f t="shared" si="32"/>
        <v>705.98301545498384</v>
      </c>
      <c r="AD140">
        <f t="shared" si="33"/>
        <v>448.81966191283624</v>
      </c>
      <c r="AE140">
        <f t="shared" si="34"/>
        <v>1.2609341877634561</v>
      </c>
      <c r="AF140">
        <f t="shared" si="35"/>
        <v>4.3139009816413589E-2</v>
      </c>
      <c r="AG140">
        <f t="shared" si="36"/>
        <v>4.3139009816413589E-2</v>
      </c>
      <c r="AI140" s="7">
        <f t="shared" si="37"/>
        <v>468.99666191283632</v>
      </c>
    </row>
    <row r="141" spans="1:35" x14ac:dyDescent="0.25">
      <c r="A141">
        <v>160.78399999999999</v>
      </c>
      <c r="B141">
        <v>7.3090000000000002</v>
      </c>
      <c r="C141">
        <v>78.796999999999997</v>
      </c>
      <c r="D141">
        <v>522.13699999999994</v>
      </c>
      <c r="E141">
        <v>349.67500000000001</v>
      </c>
      <c r="F141">
        <v>2.5449999999999999</v>
      </c>
      <c r="G141">
        <v>81.284000000000006</v>
      </c>
      <c r="H141">
        <v>79.849999999999994</v>
      </c>
      <c r="I141">
        <v>5.4240000000000004</v>
      </c>
      <c r="J141">
        <v>8.1010000000000009</v>
      </c>
      <c r="K141">
        <v>54390.404000000002</v>
      </c>
      <c r="L141">
        <v>20.363</v>
      </c>
      <c r="N141">
        <v>281.86129499999998</v>
      </c>
      <c r="O141">
        <v>353.70673499999998</v>
      </c>
      <c r="P141">
        <v>912.98947599999985</v>
      </c>
      <c r="Q141">
        <v>715.00310000000002</v>
      </c>
      <c r="R141">
        <f t="shared" si="27"/>
        <v>1.7425055401009004</v>
      </c>
      <c r="S141">
        <v>1.683283757482281</v>
      </c>
      <c r="T141">
        <v>71.845439999999996</v>
      </c>
      <c r="U141">
        <v>197.98637599999984</v>
      </c>
      <c r="V141">
        <v>559.28274099999987</v>
      </c>
      <c r="W141">
        <v>0.22554054819295749</v>
      </c>
      <c r="X141">
        <f t="shared" si="28"/>
        <v>0.67456463226599794</v>
      </c>
      <c r="Y141">
        <f t="shared" si="29"/>
        <v>1.7777527380354194</v>
      </c>
      <c r="AA141" s="3">
        <f t="shared" si="30"/>
        <v>725.43890619972137</v>
      </c>
      <c r="AB141" s="6">
        <f t="shared" si="31"/>
        <v>711.85733240522279</v>
      </c>
      <c r="AC141" s="3">
        <f t="shared" si="32"/>
        <v>707.00677033575903</v>
      </c>
      <c r="AD141">
        <f t="shared" si="33"/>
        <v>452.12634871503718</v>
      </c>
      <c r="AE141">
        <f t="shared" si="34"/>
        <v>1.2609341877634561</v>
      </c>
      <c r="AF141">
        <f t="shared" si="35"/>
        <v>4.3139009816413589E-2</v>
      </c>
      <c r="AG141">
        <f t="shared" si="36"/>
        <v>4.3139009816413589E-2</v>
      </c>
      <c r="AI141" s="7">
        <f t="shared" si="37"/>
        <v>472.48934871503718</v>
      </c>
    </row>
    <row r="142" spans="1:35" x14ac:dyDescent="0.25">
      <c r="A142">
        <v>161.785</v>
      </c>
      <c r="B142">
        <v>7.24</v>
      </c>
      <c r="C142">
        <v>78.822999999999993</v>
      </c>
      <c r="D142">
        <v>520.74599999999998</v>
      </c>
      <c r="E142">
        <v>349.59399999999999</v>
      </c>
      <c r="F142">
        <v>2.556</v>
      </c>
      <c r="G142">
        <v>81.2</v>
      </c>
      <c r="H142">
        <v>79.703000000000003</v>
      </c>
      <c r="I142">
        <v>5.3970000000000002</v>
      </c>
      <c r="J142">
        <v>7.0410000000000004</v>
      </c>
      <c r="K142">
        <v>54374.633999999998</v>
      </c>
      <c r="L142">
        <v>20.521999999999998</v>
      </c>
      <c r="N142">
        <v>281.79194999999993</v>
      </c>
      <c r="O142">
        <v>353.73286499999995</v>
      </c>
      <c r="P142">
        <v>911.39260799999988</v>
      </c>
      <c r="Q142">
        <v>714.9101119999998</v>
      </c>
      <c r="R142">
        <f t="shared" si="27"/>
        <v>1.741532775137663</v>
      </c>
      <c r="S142">
        <v>1.6823512126137543</v>
      </c>
      <c r="T142">
        <v>71.940915000000018</v>
      </c>
      <c r="U142">
        <v>196.48249600000008</v>
      </c>
      <c r="V142">
        <v>557.65974299999993</v>
      </c>
      <c r="W142">
        <v>0.22332897893976197</v>
      </c>
      <c r="X142">
        <f t="shared" si="28"/>
        <v>0.67277131864638151</v>
      </c>
      <c r="Y142">
        <f t="shared" si="29"/>
        <v>1.7691032517644607</v>
      </c>
      <c r="AA142" s="3">
        <f t="shared" si="30"/>
        <v>724.23955689692275</v>
      </c>
      <c r="AB142" s="6">
        <f t="shared" si="31"/>
        <v>710.69524851576887</v>
      </c>
      <c r="AC142" s="3">
        <f t="shared" si="32"/>
        <v>705.85799552249966</v>
      </c>
      <c r="AD142">
        <f t="shared" si="33"/>
        <v>449.37297047353161</v>
      </c>
      <c r="AE142">
        <f t="shared" si="34"/>
        <v>1.2609341877634561</v>
      </c>
      <c r="AF142">
        <f t="shared" si="35"/>
        <v>4.3139009816413589E-2</v>
      </c>
      <c r="AG142">
        <f t="shared" si="36"/>
        <v>4.3139009816413589E-2</v>
      </c>
      <c r="AI142" s="7">
        <f t="shared" si="37"/>
        <v>469.89497047353154</v>
      </c>
    </row>
    <row r="143" spans="1:35" x14ac:dyDescent="0.25">
      <c r="A143">
        <v>162.785</v>
      </c>
      <c r="B143">
        <v>7.2190000000000003</v>
      </c>
      <c r="C143">
        <v>78.793000000000006</v>
      </c>
      <c r="D143">
        <v>518.90700000000004</v>
      </c>
      <c r="E143">
        <v>349.32400000000001</v>
      </c>
      <c r="F143">
        <v>2.5219999999999998</v>
      </c>
      <c r="G143">
        <v>80.897000000000006</v>
      </c>
      <c r="H143">
        <v>79.472999999999999</v>
      </c>
      <c r="I143">
        <v>5.2640000000000002</v>
      </c>
      <c r="J143">
        <v>8.2520000000000007</v>
      </c>
      <c r="K143">
        <v>54350.451999999997</v>
      </c>
      <c r="L143">
        <v>20.978000000000002</v>
      </c>
      <c r="N143">
        <v>281.77084499999995</v>
      </c>
      <c r="O143">
        <v>353.70271499999996</v>
      </c>
      <c r="P143">
        <v>909.28143599999999</v>
      </c>
      <c r="Q143">
        <v>714.60015199999987</v>
      </c>
      <c r="R143">
        <f t="shared" si="27"/>
        <v>1.7392333666597497</v>
      </c>
      <c r="S143">
        <v>1.6822937736751133</v>
      </c>
      <c r="T143">
        <v>71.931870000000004</v>
      </c>
      <c r="U143">
        <v>194.68128400000012</v>
      </c>
      <c r="V143">
        <v>555.57872100000009</v>
      </c>
      <c r="W143">
        <v>0.22093973249922236</v>
      </c>
      <c r="X143">
        <f t="shared" si="28"/>
        <v>0.67107317954026358</v>
      </c>
      <c r="Y143">
        <f t="shared" si="29"/>
        <v>1.7570632169254801</v>
      </c>
      <c r="AA143" s="3">
        <f t="shared" si="30"/>
        <v>722.56618212626927</v>
      </c>
      <c r="AB143" s="6">
        <f t="shared" si="31"/>
        <v>709.05407865082157</v>
      </c>
      <c r="AC143" s="3">
        <f t="shared" si="32"/>
        <v>704.22832740959029</v>
      </c>
      <c r="AD143">
        <f t="shared" si="33"/>
        <v>445.85632280173672</v>
      </c>
      <c r="AE143">
        <f t="shared" si="34"/>
        <v>1.2609341877634561</v>
      </c>
      <c r="AF143">
        <f t="shared" si="35"/>
        <v>4.3139009816413589E-2</v>
      </c>
      <c r="AG143">
        <f t="shared" si="36"/>
        <v>4.3139009816413589E-2</v>
      </c>
      <c r="AI143" s="7">
        <f t="shared" si="37"/>
        <v>466.83432280173673</v>
      </c>
    </row>
    <row r="144" spans="1:35" x14ac:dyDescent="0.25">
      <c r="A144">
        <v>163.786</v>
      </c>
      <c r="B144">
        <v>7.1520000000000001</v>
      </c>
      <c r="C144">
        <v>78.682000000000002</v>
      </c>
      <c r="D144">
        <v>517.11699999999996</v>
      </c>
      <c r="E144">
        <v>349.13099999999997</v>
      </c>
      <c r="F144">
        <v>2.5470000000000002</v>
      </c>
      <c r="G144">
        <v>80.573999999999998</v>
      </c>
      <c r="H144">
        <v>79.222999999999999</v>
      </c>
      <c r="I144">
        <v>5.3920000000000003</v>
      </c>
      <c r="J144">
        <v>8.14</v>
      </c>
      <c r="K144">
        <v>54310.63</v>
      </c>
      <c r="L144">
        <v>20.446000000000002</v>
      </c>
      <c r="N144">
        <v>281.70350999999994</v>
      </c>
      <c r="O144">
        <v>353.59115999999995</v>
      </c>
      <c r="P144">
        <v>907.22651599999983</v>
      </c>
      <c r="Q144">
        <v>714.37858799999992</v>
      </c>
      <c r="R144">
        <f t="shared" si="27"/>
        <v>1.7357775326034683</v>
      </c>
      <c r="S144">
        <v>1.6780204239062559</v>
      </c>
      <c r="T144">
        <v>71.887650000000008</v>
      </c>
      <c r="U144">
        <v>192.84792799999991</v>
      </c>
      <c r="V144">
        <v>553.63535599999989</v>
      </c>
      <c r="W144">
        <v>0.21848365840276995</v>
      </c>
      <c r="X144">
        <f t="shared" si="28"/>
        <v>0.66871787239569791</v>
      </c>
      <c r="Y144">
        <f t="shared" si="29"/>
        <v>1.7524859501631642</v>
      </c>
      <c r="AA144" s="3">
        <f t="shared" si="30"/>
        <v>721.25080047569622</v>
      </c>
      <c r="AB144" s="6">
        <f t="shared" si="31"/>
        <v>707.830983901526</v>
      </c>
      <c r="AC144" s="3">
        <f t="shared" si="32"/>
        <v>703.03819226789381</v>
      </c>
      <c r="AD144">
        <f t="shared" si="33"/>
        <v>443.19607741709967</v>
      </c>
      <c r="AE144">
        <f t="shared" si="34"/>
        <v>1.2609341877634561</v>
      </c>
      <c r="AF144">
        <f t="shared" si="35"/>
        <v>4.3139009816413589E-2</v>
      </c>
      <c r="AG144">
        <f t="shared" si="36"/>
        <v>4.3139009816413589E-2</v>
      </c>
      <c r="AI144" s="7">
        <f t="shared" si="37"/>
        <v>463.6420774170997</v>
      </c>
    </row>
    <row r="145" spans="1:35" x14ac:dyDescent="0.25">
      <c r="A145">
        <v>164.786</v>
      </c>
      <c r="B145">
        <v>7.0949999999999998</v>
      </c>
      <c r="C145">
        <v>78.680000000000007</v>
      </c>
      <c r="D145">
        <v>515.58399999999995</v>
      </c>
      <c r="E145">
        <v>348.83</v>
      </c>
      <c r="F145">
        <v>2.536</v>
      </c>
      <c r="G145">
        <v>80.775000000000006</v>
      </c>
      <c r="H145">
        <v>79.322999999999993</v>
      </c>
      <c r="I145">
        <v>5.173</v>
      </c>
      <c r="J145">
        <v>7.0270000000000001</v>
      </c>
      <c r="K145">
        <v>54287.555999999997</v>
      </c>
      <c r="L145">
        <v>20.16</v>
      </c>
      <c r="N145">
        <v>281.64622499999996</v>
      </c>
      <c r="O145">
        <v>353.58914999999996</v>
      </c>
      <c r="P145">
        <v>905.46663199999989</v>
      </c>
      <c r="Q145">
        <v>714.03303999999991</v>
      </c>
      <c r="R145">
        <f t="shared" si="27"/>
        <v>1.7378531819382097</v>
      </c>
      <c r="S145">
        <v>1.6823221959456349</v>
      </c>
      <c r="T145">
        <v>71.942925000000002</v>
      </c>
      <c r="U145">
        <v>191.43359199999998</v>
      </c>
      <c r="V145">
        <v>551.87748199999987</v>
      </c>
      <c r="W145">
        <v>0.21651665613709531</v>
      </c>
      <c r="X145">
        <f t="shared" si="28"/>
        <v>0.66963332977198997</v>
      </c>
      <c r="Y145">
        <f t="shared" si="29"/>
        <v>1.7349781057034859</v>
      </c>
      <c r="AA145" s="3">
        <f t="shared" si="30"/>
        <v>719.53261952994626</v>
      </c>
      <c r="AB145" s="6">
        <f t="shared" si="31"/>
        <v>706.07679554965807</v>
      </c>
      <c r="AC145" s="3">
        <f t="shared" si="32"/>
        <v>701.27114412812648</v>
      </c>
      <c r="AD145">
        <f t="shared" si="33"/>
        <v>439.41579691906264</v>
      </c>
      <c r="AE145">
        <f t="shared" si="34"/>
        <v>1.2609341877634561</v>
      </c>
      <c r="AF145">
        <f t="shared" si="35"/>
        <v>4.3139009816413589E-2</v>
      </c>
      <c r="AG145">
        <f t="shared" si="36"/>
        <v>4.3139009816413589E-2</v>
      </c>
      <c r="AI145" s="7">
        <f t="shared" si="37"/>
        <v>459.57579691906267</v>
      </c>
    </row>
    <row r="146" spans="1:35" x14ac:dyDescent="0.25">
      <c r="A146">
        <v>165.786</v>
      </c>
      <c r="B146">
        <v>7.2649999999999997</v>
      </c>
      <c r="C146">
        <v>78.706000000000003</v>
      </c>
      <c r="D146">
        <v>518.42399999999998</v>
      </c>
      <c r="E146">
        <v>349.46600000000001</v>
      </c>
      <c r="F146">
        <v>2.548</v>
      </c>
      <c r="G146">
        <v>81.272000000000006</v>
      </c>
      <c r="H146">
        <v>79.823999999999998</v>
      </c>
      <c r="I146">
        <v>5.3920000000000003</v>
      </c>
      <c r="J146">
        <v>8.2520000000000007</v>
      </c>
      <c r="K146">
        <v>54300.917000000001</v>
      </c>
      <c r="L146">
        <v>19.925000000000001</v>
      </c>
      <c r="N146">
        <v>281.81707499999993</v>
      </c>
      <c r="O146">
        <v>353.61527999999998</v>
      </c>
      <c r="P146">
        <v>908.72695199999987</v>
      </c>
      <c r="Q146">
        <v>714.76316799999995</v>
      </c>
      <c r="R146">
        <f t="shared" si="27"/>
        <v>1.7423430899215449</v>
      </c>
      <c r="S146">
        <v>1.6835396539690703</v>
      </c>
      <c r="T146">
        <v>71.798205000000053</v>
      </c>
      <c r="U146">
        <v>193.96378399999992</v>
      </c>
      <c r="V146">
        <v>555.11167199999988</v>
      </c>
      <c r="W146">
        <v>0.22007387911670481</v>
      </c>
      <c r="X146">
        <f t="shared" si="28"/>
        <v>0.67477998642306924</v>
      </c>
      <c r="Y146">
        <f t="shared" si="29"/>
        <v>1.7493244719364713</v>
      </c>
      <c r="AA146" s="3">
        <f t="shared" si="30"/>
        <v>722.03300749028222</v>
      </c>
      <c r="AB146" s="6">
        <f t="shared" si="31"/>
        <v>708.51114783561502</v>
      </c>
      <c r="AC146" s="3">
        <f t="shared" si="32"/>
        <v>703.68191224466239</v>
      </c>
      <c r="AD146">
        <f t="shared" si="33"/>
        <v>444.08924714585481</v>
      </c>
      <c r="AE146">
        <f t="shared" si="34"/>
        <v>1.2609341877634561</v>
      </c>
      <c r="AF146">
        <f t="shared" si="35"/>
        <v>4.3139009816413589E-2</v>
      </c>
      <c r="AG146">
        <f t="shared" si="36"/>
        <v>4.3139009816413589E-2</v>
      </c>
      <c r="AI146" s="7">
        <f t="shared" si="37"/>
        <v>464.01424714585488</v>
      </c>
    </row>
    <row r="147" spans="1:35" x14ac:dyDescent="0.25">
      <c r="A147">
        <v>166.78700000000001</v>
      </c>
      <c r="B147">
        <v>7.3929999999999998</v>
      </c>
      <c r="C147">
        <v>78.659000000000006</v>
      </c>
      <c r="D147">
        <v>517.91499999999996</v>
      </c>
      <c r="E147">
        <v>348.97500000000002</v>
      </c>
      <c r="F147">
        <v>2.5630000000000002</v>
      </c>
      <c r="G147">
        <v>81.367000000000004</v>
      </c>
      <c r="H147">
        <v>80.025000000000006</v>
      </c>
      <c r="I147">
        <v>5.476</v>
      </c>
      <c r="J147">
        <v>8.0640000000000001</v>
      </c>
      <c r="K147">
        <v>54316.614000000001</v>
      </c>
      <c r="L147">
        <v>20.21</v>
      </c>
      <c r="N147">
        <v>281.94571499999989</v>
      </c>
      <c r="O147">
        <v>353.56804499999993</v>
      </c>
      <c r="P147">
        <v>908.14261999999985</v>
      </c>
      <c r="Q147">
        <v>714.19949999999994</v>
      </c>
      <c r="R147">
        <f t="shared" si="27"/>
        <v>1.7429923724578789</v>
      </c>
      <c r="S147">
        <v>1.6840864043459112</v>
      </c>
      <c r="T147">
        <v>71.622330000000034</v>
      </c>
      <c r="U147">
        <v>193.94311999999991</v>
      </c>
      <c r="V147">
        <v>554.57457499999987</v>
      </c>
      <c r="W147">
        <v>0.22056689129681054</v>
      </c>
      <c r="X147">
        <f t="shared" si="28"/>
        <v>0.67723685821219726</v>
      </c>
      <c r="Y147">
        <f t="shared" si="29"/>
        <v>1.7492425996894001</v>
      </c>
      <c r="AA147" s="3">
        <f t="shared" si="30"/>
        <v>721.52816158685005</v>
      </c>
      <c r="AB147" s="6">
        <f t="shared" si="31"/>
        <v>708.00710967318207</v>
      </c>
      <c r="AC147" s="3">
        <f t="shared" si="32"/>
        <v>703.17816256115782</v>
      </c>
      <c r="AD147">
        <f t="shared" si="33"/>
        <v>444.05554135673844</v>
      </c>
      <c r="AE147">
        <f t="shared" si="34"/>
        <v>1.2609341877634561</v>
      </c>
      <c r="AF147">
        <f t="shared" si="35"/>
        <v>4.3139009816413589E-2</v>
      </c>
      <c r="AG147">
        <f t="shared" si="36"/>
        <v>4.3139009816413589E-2</v>
      </c>
      <c r="AI147" s="7">
        <f t="shared" si="37"/>
        <v>464.26554135673842</v>
      </c>
    </row>
    <row r="148" spans="1:35" x14ac:dyDescent="0.25">
      <c r="A148">
        <v>167.78700000000001</v>
      </c>
      <c r="B148">
        <v>7.6509999999999998</v>
      </c>
      <c r="C148">
        <v>78.710999999999999</v>
      </c>
      <c r="D148">
        <v>517.82100000000003</v>
      </c>
      <c r="E148">
        <v>348.82400000000001</v>
      </c>
      <c r="F148">
        <v>2.5499999999999998</v>
      </c>
      <c r="G148">
        <v>81.620999999999995</v>
      </c>
      <c r="H148">
        <v>80.012</v>
      </c>
      <c r="I148">
        <v>5.3029999999999999</v>
      </c>
      <c r="J148">
        <v>7.9109999999999996</v>
      </c>
      <c r="K148">
        <v>54363.383999999998</v>
      </c>
      <c r="L148">
        <v>20.802</v>
      </c>
      <c r="N148">
        <v>282.20500499999997</v>
      </c>
      <c r="O148">
        <v>353.62030499999997</v>
      </c>
      <c r="P148">
        <v>908.03470799999991</v>
      </c>
      <c r="Q148">
        <v>714.02615199999991</v>
      </c>
      <c r="R148">
        <f t="shared" si="27"/>
        <v>1.7456011315417255</v>
      </c>
      <c r="S148">
        <v>1.6866446697241804</v>
      </c>
      <c r="T148">
        <v>71.415300000000002</v>
      </c>
      <c r="U148">
        <v>194.008556</v>
      </c>
      <c r="V148">
        <v>554.41440299999999</v>
      </c>
      <c r="W148">
        <v>0.22112206201107656</v>
      </c>
      <c r="X148">
        <f t="shared" si="28"/>
        <v>0.68180425354839935</v>
      </c>
      <c r="Y148">
        <f t="shared" si="29"/>
        <v>1.7452826799180048</v>
      </c>
      <c r="AA148" s="3">
        <f t="shared" si="30"/>
        <v>721.25287273037247</v>
      </c>
      <c r="AB148" s="6">
        <f t="shared" si="31"/>
        <v>707.69657020572276</v>
      </c>
      <c r="AC148" s="3">
        <f t="shared" si="32"/>
        <v>702.85503358977633</v>
      </c>
      <c r="AD148">
        <f t="shared" si="33"/>
        <v>443.64289827781494</v>
      </c>
      <c r="AE148">
        <f t="shared" si="34"/>
        <v>1.2609341877634561</v>
      </c>
      <c r="AF148">
        <f t="shared" si="35"/>
        <v>4.3139009816413589E-2</v>
      </c>
      <c r="AG148">
        <f t="shared" si="36"/>
        <v>4.3139009816413589E-2</v>
      </c>
      <c r="AI148" s="7">
        <f t="shared" si="37"/>
        <v>464.44489827781496</v>
      </c>
    </row>
    <row r="149" spans="1:35" x14ac:dyDescent="0.25">
      <c r="A149">
        <v>168.78700000000001</v>
      </c>
      <c r="B149">
        <v>7.6980000000000004</v>
      </c>
      <c r="C149">
        <v>78.774000000000001</v>
      </c>
      <c r="D149">
        <v>517.63400000000001</v>
      </c>
      <c r="E149">
        <v>349.15899999999999</v>
      </c>
      <c r="F149">
        <v>2.577</v>
      </c>
      <c r="G149">
        <v>81.103999999999999</v>
      </c>
      <c r="H149">
        <v>79.739000000000004</v>
      </c>
      <c r="I149">
        <v>5.5220000000000002</v>
      </c>
      <c r="J149">
        <v>8.4779999999999998</v>
      </c>
      <c r="K149">
        <v>54395.531999999999</v>
      </c>
      <c r="L149">
        <v>20.702999999999999</v>
      </c>
      <c r="N149">
        <v>282.25223999999992</v>
      </c>
      <c r="O149">
        <v>353.68361999999996</v>
      </c>
      <c r="P149">
        <v>907.82003199999997</v>
      </c>
      <c r="Q149">
        <v>714.41073199999994</v>
      </c>
      <c r="R149">
        <f t="shared" si="27"/>
        <v>1.7402830019702669</v>
      </c>
      <c r="S149">
        <v>1.6807525086679753</v>
      </c>
      <c r="T149">
        <v>71.431380000000047</v>
      </c>
      <c r="U149">
        <v>193.40930000000003</v>
      </c>
      <c r="V149">
        <v>554.13641200000006</v>
      </c>
      <c r="W149">
        <v>0.22012254989661276</v>
      </c>
      <c r="X149">
        <f t="shared" si="28"/>
        <v>0.67772753334022862</v>
      </c>
      <c r="Y149">
        <f t="shared" si="29"/>
        <v>1.7512833381304398</v>
      </c>
      <c r="AA149" s="3">
        <f t="shared" si="30"/>
        <v>721.5193656836052</v>
      </c>
      <c r="AB149" s="6">
        <f t="shared" si="31"/>
        <v>708.05124234430627</v>
      </c>
      <c r="AC149" s="3">
        <f t="shared" si="32"/>
        <v>703.24119829455663</v>
      </c>
      <c r="AD149">
        <f t="shared" si="33"/>
        <v>443.69380029760083</v>
      </c>
      <c r="AE149">
        <f t="shared" si="34"/>
        <v>1.2609341877634561</v>
      </c>
      <c r="AF149">
        <f t="shared" si="35"/>
        <v>4.3139009816413589E-2</v>
      </c>
      <c r="AG149">
        <f t="shared" si="36"/>
        <v>4.3139009816413589E-2</v>
      </c>
      <c r="AI149" s="7">
        <f t="shared" si="37"/>
        <v>464.39680029760081</v>
      </c>
    </row>
    <row r="150" spans="1:35" x14ac:dyDescent="0.25">
      <c r="A150">
        <v>169.78800000000001</v>
      </c>
      <c r="B150">
        <v>7.5819999999999999</v>
      </c>
      <c r="C150">
        <v>78.775000000000006</v>
      </c>
      <c r="D150">
        <v>518.91</v>
      </c>
      <c r="E150">
        <v>348.89499999999998</v>
      </c>
      <c r="F150">
        <v>2.5539999999999998</v>
      </c>
      <c r="G150">
        <v>81.212999999999994</v>
      </c>
      <c r="H150">
        <v>79.715999999999994</v>
      </c>
      <c r="I150">
        <v>5.25</v>
      </c>
      <c r="J150">
        <v>7.4950000000000001</v>
      </c>
      <c r="K150">
        <v>54379.648000000001</v>
      </c>
      <c r="L150">
        <v>21.131</v>
      </c>
      <c r="N150">
        <v>282.13565999999992</v>
      </c>
      <c r="O150">
        <v>353.68462499999993</v>
      </c>
      <c r="P150">
        <v>909.28487999999982</v>
      </c>
      <c r="Q150">
        <v>714.1076599999999</v>
      </c>
      <c r="R150">
        <f t="shared" si="27"/>
        <v>1.7416881965791011</v>
      </c>
      <c r="S150">
        <v>1.6847448275862069</v>
      </c>
      <c r="T150">
        <v>71.54896500000001</v>
      </c>
      <c r="U150">
        <v>195.17721999999992</v>
      </c>
      <c r="V150">
        <v>555.60025499999983</v>
      </c>
      <c r="W150">
        <v>0.22251295583008676</v>
      </c>
      <c r="X150">
        <f t="shared" si="28"/>
        <v>0.67739971123824771</v>
      </c>
      <c r="Y150">
        <f t="shared" si="29"/>
        <v>1.7569283506544475</v>
      </c>
      <c r="AA150" s="3">
        <f t="shared" si="30"/>
        <v>722.38681158887175</v>
      </c>
      <c r="AB150" s="6">
        <f t="shared" si="31"/>
        <v>708.83924717559682</v>
      </c>
      <c r="AC150" s="3">
        <f t="shared" si="32"/>
        <v>704.00083131371298</v>
      </c>
      <c r="AD150">
        <f t="shared" si="33"/>
        <v>446.40742771057296</v>
      </c>
      <c r="AE150">
        <f t="shared" si="34"/>
        <v>1.2609341877634561</v>
      </c>
      <c r="AF150">
        <f t="shared" si="35"/>
        <v>4.3139009816413589E-2</v>
      </c>
      <c r="AG150">
        <f t="shared" si="36"/>
        <v>4.3139009816413589E-2</v>
      </c>
      <c r="AI150" s="7">
        <f t="shared" si="37"/>
        <v>467.53842771057293</v>
      </c>
    </row>
    <row r="151" spans="1:35" x14ac:dyDescent="0.25">
      <c r="A151">
        <v>170.78899999999999</v>
      </c>
      <c r="B151">
        <v>7.4409999999999998</v>
      </c>
      <c r="C151">
        <v>78.826999999999998</v>
      </c>
      <c r="D151">
        <v>521.01400000000001</v>
      </c>
      <c r="E151">
        <v>349.17099999999999</v>
      </c>
      <c r="F151">
        <v>2.5750000000000002</v>
      </c>
      <c r="G151">
        <v>80.56</v>
      </c>
      <c r="H151">
        <v>79.227999999999994</v>
      </c>
      <c r="I151">
        <v>5.3929999999999998</v>
      </c>
      <c r="J151">
        <v>7.2779999999999996</v>
      </c>
      <c r="K151">
        <v>54355.046000000002</v>
      </c>
      <c r="L151">
        <v>21.318000000000001</v>
      </c>
      <c r="N151">
        <v>281.99395499999991</v>
      </c>
      <c r="O151">
        <v>353.73688499999992</v>
      </c>
      <c r="P151">
        <v>911.70027199999993</v>
      </c>
      <c r="Q151">
        <v>714.42450799999983</v>
      </c>
      <c r="R151">
        <f t="shared" si="27"/>
        <v>1.7351873674287062</v>
      </c>
      <c r="S151">
        <v>1.6780509307301663</v>
      </c>
      <c r="T151">
        <v>71.742930000000001</v>
      </c>
      <c r="U151">
        <v>197.27576400000009</v>
      </c>
      <c r="V151">
        <v>557.96338700000001</v>
      </c>
      <c r="W151">
        <v>0.22498399881567874</v>
      </c>
      <c r="X151">
        <f t="shared" si="28"/>
        <v>0.67031062557374388</v>
      </c>
      <c r="Y151">
        <f t="shared" si="29"/>
        <v>1.783867791027389</v>
      </c>
      <c r="AA151" s="3">
        <f t="shared" si="30"/>
        <v>724.80518281504396</v>
      </c>
      <c r="AB151" s="6">
        <f t="shared" si="31"/>
        <v>711.31874614019137</v>
      </c>
      <c r="AC151" s="3">
        <f t="shared" si="32"/>
        <v>706.50216161345838</v>
      </c>
      <c r="AD151">
        <f t="shared" si="33"/>
        <v>452.03852174110074</v>
      </c>
      <c r="AE151">
        <f t="shared" si="34"/>
        <v>1.2609341877634561</v>
      </c>
      <c r="AF151">
        <f t="shared" si="35"/>
        <v>4.3139009816413589E-2</v>
      </c>
      <c r="AG151">
        <f t="shared" si="36"/>
        <v>4.3139009816413589E-2</v>
      </c>
      <c r="AI151" s="7">
        <f t="shared" si="37"/>
        <v>473.35652174110072</v>
      </c>
    </row>
    <row r="152" spans="1:35" x14ac:dyDescent="0.25">
      <c r="A152">
        <v>171.78899999999999</v>
      </c>
      <c r="B152">
        <v>7.4109999999999996</v>
      </c>
      <c r="C152">
        <v>78.768000000000001</v>
      </c>
      <c r="D152">
        <v>519.12900000000002</v>
      </c>
      <c r="E152">
        <v>348.92399999999998</v>
      </c>
      <c r="F152">
        <v>2.57</v>
      </c>
      <c r="G152">
        <v>81.058999999999997</v>
      </c>
      <c r="H152">
        <v>79.531999999999996</v>
      </c>
      <c r="I152">
        <v>5.36</v>
      </c>
      <c r="J152">
        <v>7.43</v>
      </c>
      <c r="K152">
        <v>54326.432999999997</v>
      </c>
      <c r="L152">
        <v>21.158999999999999</v>
      </c>
      <c r="N152">
        <v>281.96380499999992</v>
      </c>
      <c r="O152">
        <v>353.67758999999995</v>
      </c>
      <c r="P152">
        <v>909.53629199999989</v>
      </c>
      <c r="Q152">
        <v>714.14095199999986</v>
      </c>
      <c r="R152">
        <f t="shared" si="27"/>
        <v>1.7399736023380787</v>
      </c>
      <c r="S152">
        <v>1.6813521954804334</v>
      </c>
      <c r="T152">
        <v>71.71378500000003</v>
      </c>
      <c r="U152">
        <v>195.39534000000003</v>
      </c>
      <c r="V152">
        <v>555.85870199999999</v>
      </c>
      <c r="W152">
        <v>0.22250538591010491</v>
      </c>
      <c r="X152">
        <f t="shared" si="28"/>
        <v>0.67413484237662213</v>
      </c>
      <c r="Y152">
        <f t="shared" si="29"/>
        <v>1.7647925304657899</v>
      </c>
      <c r="AA152" s="3">
        <f t="shared" si="30"/>
        <v>722.83876955679011</v>
      </c>
      <c r="AB152" s="6">
        <f t="shared" si="31"/>
        <v>709.33650252616599</v>
      </c>
      <c r="AC152" s="3">
        <f t="shared" si="32"/>
        <v>704.51426430094307</v>
      </c>
      <c r="AD152">
        <f t="shared" si="33"/>
        <v>447.6099929627099</v>
      </c>
      <c r="AE152">
        <f t="shared" si="34"/>
        <v>1.2609341877634561</v>
      </c>
      <c r="AF152">
        <f t="shared" si="35"/>
        <v>4.3139009816413589E-2</v>
      </c>
      <c r="AG152">
        <f t="shared" si="36"/>
        <v>4.3139009816413589E-2</v>
      </c>
      <c r="AI152" s="7">
        <f t="shared" si="37"/>
        <v>468.76899296270994</v>
      </c>
    </row>
    <row r="153" spans="1:35" x14ac:dyDescent="0.25">
      <c r="A153">
        <v>172.78899999999999</v>
      </c>
      <c r="B153">
        <v>7.556</v>
      </c>
      <c r="C153">
        <v>78.646000000000001</v>
      </c>
      <c r="D153">
        <v>520.80999999999995</v>
      </c>
      <c r="E153">
        <v>348.83100000000002</v>
      </c>
      <c r="F153">
        <v>2.5510000000000002</v>
      </c>
      <c r="G153">
        <v>81.411000000000001</v>
      </c>
      <c r="H153">
        <v>80.040999999999997</v>
      </c>
      <c r="I153">
        <v>5.3049999999999997</v>
      </c>
      <c r="J153">
        <v>8.0250000000000004</v>
      </c>
      <c r="K153">
        <v>54332.377</v>
      </c>
      <c r="L153">
        <v>19.957000000000001</v>
      </c>
      <c r="N153">
        <v>282.10952999999995</v>
      </c>
      <c r="O153">
        <v>353.55497999999994</v>
      </c>
      <c r="P153">
        <v>911.46607999999981</v>
      </c>
      <c r="Q153">
        <v>714.03418799999997</v>
      </c>
      <c r="R153">
        <f t="shared" si="27"/>
        <v>1.7436044921782916</v>
      </c>
      <c r="S153">
        <v>1.6868801985202884</v>
      </c>
      <c r="T153">
        <v>71.445449999999994</v>
      </c>
      <c r="U153">
        <v>197.43189199999983</v>
      </c>
      <c r="V153">
        <v>557.91109999999981</v>
      </c>
      <c r="W153">
        <v>0.22581813123990521</v>
      </c>
      <c r="X153">
        <f t="shared" si="28"/>
        <v>0.67977228162784564</v>
      </c>
      <c r="Y153">
        <f t="shared" si="29"/>
        <v>1.7689500020756046</v>
      </c>
      <c r="AA153" s="3">
        <f t="shared" si="30"/>
        <v>723.96091587964065</v>
      </c>
      <c r="AB153" s="6">
        <f t="shared" si="31"/>
        <v>710.34998285623749</v>
      </c>
      <c r="AC153" s="3">
        <f t="shared" si="32"/>
        <v>705.48893534787919</v>
      </c>
      <c r="AD153">
        <f t="shared" si="33"/>
        <v>450.43888002471687</v>
      </c>
      <c r="AE153">
        <f t="shared" si="34"/>
        <v>1.2609341877634561</v>
      </c>
      <c r="AF153">
        <f t="shared" si="35"/>
        <v>4.3139009816413589E-2</v>
      </c>
      <c r="AG153">
        <f t="shared" si="36"/>
        <v>4.3139009816413589E-2</v>
      </c>
      <c r="AI153" s="7">
        <f t="shared" si="37"/>
        <v>470.3958800247168</v>
      </c>
    </row>
    <row r="154" spans="1:35" x14ac:dyDescent="0.25">
      <c r="A154">
        <v>173.78899999999999</v>
      </c>
      <c r="B154">
        <v>7.524</v>
      </c>
      <c r="C154">
        <v>78.650999999999996</v>
      </c>
      <c r="D154">
        <v>523.904</v>
      </c>
      <c r="E154">
        <v>348.83600000000001</v>
      </c>
      <c r="F154">
        <v>2.573</v>
      </c>
      <c r="G154">
        <v>81.417000000000002</v>
      </c>
      <c r="H154">
        <v>79.930999999999997</v>
      </c>
      <c r="I154">
        <v>5.3959999999999999</v>
      </c>
      <c r="J154">
        <v>7.798</v>
      </c>
      <c r="K154">
        <v>54348.866999999998</v>
      </c>
      <c r="L154">
        <v>20.61</v>
      </c>
      <c r="N154">
        <v>282.07736999999997</v>
      </c>
      <c r="O154">
        <v>353.56000499999993</v>
      </c>
      <c r="P154">
        <v>915.01799199999994</v>
      </c>
      <c r="Q154">
        <v>714.03992799999992</v>
      </c>
      <c r="R154">
        <f t="shared" si="27"/>
        <v>1.7432994258670917</v>
      </c>
      <c r="S154">
        <v>1.6844604025859533</v>
      </c>
      <c r="T154">
        <v>71.482634999999959</v>
      </c>
      <c r="U154">
        <v>200.97806400000002</v>
      </c>
      <c r="V154">
        <v>561.457987</v>
      </c>
      <c r="W154">
        <v>0.2306413516208472</v>
      </c>
      <c r="X154">
        <f t="shared" si="28"/>
        <v>0.67910997660375316</v>
      </c>
      <c r="Y154">
        <f t="shared" si="29"/>
        <v>1.798355527440874</v>
      </c>
      <c r="AA154" s="3">
        <f t="shared" si="30"/>
        <v>726.96276493739128</v>
      </c>
      <c r="AB154" s="6">
        <f t="shared" si="31"/>
        <v>713.33391367521733</v>
      </c>
      <c r="AC154" s="3">
        <f t="shared" si="32"/>
        <v>708.46646679586956</v>
      </c>
      <c r="AD154">
        <f t="shared" si="33"/>
        <v>457.96813185886526</v>
      </c>
      <c r="AE154">
        <f t="shared" si="34"/>
        <v>1.2609341877634561</v>
      </c>
      <c r="AF154">
        <f t="shared" si="35"/>
        <v>4.3139009816413589E-2</v>
      </c>
      <c r="AG154">
        <f t="shared" si="36"/>
        <v>4.3139009816413589E-2</v>
      </c>
      <c r="AI154" s="7">
        <f t="shared" si="37"/>
        <v>478.57813185886528</v>
      </c>
    </row>
    <row r="155" spans="1:35" x14ac:dyDescent="0.25">
      <c r="A155">
        <v>174.79</v>
      </c>
      <c r="B155">
        <v>7.4630000000000001</v>
      </c>
      <c r="C155">
        <v>78.619</v>
      </c>
      <c r="D155">
        <v>522.83199999999999</v>
      </c>
      <c r="E155">
        <v>348.73700000000002</v>
      </c>
      <c r="F155">
        <v>2.5390000000000001</v>
      </c>
      <c r="G155">
        <v>81.313000000000002</v>
      </c>
      <c r="H155">
        <v>79.947999999999993</v>
      </c>
      <c r="I155">
        <v>5.375</v>
      </c>
      <c r="J155">
        <v>7.4569999999999999</v>
      </c>
      <c r="K155">
        <v>54368.754000000001</v>
      </c>
      <c r="L155">
        <v>20.292000000000002</v>
      </c>
      <c r="N155">
        <v>282.01606499999997</v>
      </c>
      <c r="O155">
        <v>353.52784499999996</v>
      </c>
      <c r="P155">
        <v>913.78733599999987</v>
      </c>
      <c r="Q155">
        <v>713.92627599999992</v>
      </c>
      <c r="R155">
        <f t="shared" si="27"/>
        <v>1.7428776204981185</v>
      </c>
      <c r="S155">
        <v>1.6849414466130883</v>
      </c>
      <c r="T155">
        <v>71.511779999999987</v>
      </c>
      <c r="U155">
        <v>199.86105999999995</v>
      </c>
      <c r="V155">
        <v>560.25949099999991</v>
      </c>
      <c r="W155">
        <v>0.22908898833808419</v>
      </c>
      <c r="X155">
        <f t="shared" si="28"/>
        <v>0.67836609583429164</v>
      </c>
      <c r="Y155">
        <f t="shared" si="29"/>
        <v>1.7898514374206196</v>
      </c>
      <c r="AA155" s="3">
        <f t="shared" si="30"/>
        <v>725.94914845750475</v>
      </c>
      <c r="AB155" s="6">
        <f t="shared" si="31"/>
        <v>712.33164954646395</v>
      </c>
      <c r="AC155" s="3">
        <f t="shared" si="32"/>
        <v>707.46825707823518</v>
      </c>
      <c r="AD155">
        <f t="shared" si="33"/>
        <v>455.69827227967556</v>
      </c>
      <c r="AE155">
        <f t="shared" si="34"/>
        <v>1.2609341877634561</v>
      </c>
      <c r="AF155">
        <f t="shared" si="35"/>
        <v>4.3139009816413589E-2</v>
      </c>
      <c r="AG155">
        <f t="shared" si="36"/>
        <v>4.3139009816413589E-2</v>
      </c>
      <c r="AI155" s="7">
        <f t="shared" si="37"/>
        <v>475.99027227967554</v>
      </c>
    </row>
    <row r="156" spans="1:35" x14ac:dyDescent="0.25">
      <c r="A156">
        <v>175.791</v>
      </c>
      <c r="B156">
        <v>7.4109999999999996</v>
      </c>
      <c r="C156">
        <v>78.61</v>
      </c>
      <c r="D156">
        <v>524.00900000000001</v>
      </c>
      <c r="E156">
        <v>348.99900000000002</v>
      </c>
      <c r="F156">
        <v>2.569</v>
      </c>
      <c r="G156">
        <v>81.638999999999996</v>
      </c>
      <c r="H156">
        <v>80.209000000000003</v>
      </c>
      <c r="I156">
        <v>5.3680000000000003</v>
      </c>
      <c r="J156">
        <v>8.5540000000000003</v>
      </c>
      <c r="K156">
        <v>54384.904999999999</v>
      </c>
      <c r="L156">
        <v>20.561</v>
      </c>
      <c r="N156">
        <v>281.96380499999992</v>
      </c>
      <c r="O156">
        <v>353.51879999999994</v>
      </c>
      <c r="P156">
        <v>915.13853199999994</v>
      </c>
      <c r="Q156">
        <v>714.22705199999996</v>
      </c>
      <c r="R156">
        <f t="shared" si="27"/>
        <v>1.7454581451696538</v>
      </c>
      <c r="S156">
        <v>1.6874471837454532</v>
      </c>
      <c r="T156">
        <v>71.554995000000019</v>
      </c>
      <c r="U156">
        <v>200.91147999999998</v>
      </c>
      <c r="V156">
        <v>561.619732</v>
      </c>
      <c r="W156">
        <v>0.23032752880555835</v>
      </c>
      <c r="X156">
        <f t="shared" si="28"/>
        <v>0.67978344834161608</v>
      </c>
      <c r="Y156">
        <f t="shared" si="29"/>
        <v>1.7918245070959204</v>
      </c>
      <c r="AA156" s="3">
        <f t="shared" si="30"/>
        <v>726.83559527984426</v>
      </c>
      <c r="AB156" s="6">
        <f t="shared" si="31"/>
        <v>713.16159991759173</v>
      </c>
      <c r="AC156" s="3">
        <f t="shared" si="32"/>
        <v>708.27803014535868</v>
      </c>
      <c r="AD156">
        <f t="shared" si="33"/>
        <v>457.12681983317344</v>
      </c>
      <c r="AE156">
        <f t="shared" si="34"/>
        <v>1.2609341877634561</v>
      </c>
      <c r="AF156">
        <f t="shared" si="35"/>
        <v>4.3139009816413589E-2</v>
      </c>
      <c r="AG156">
        <f t="shared" si="36"/>
        <v>4.3139009816413589E-2</v>
      </c>
      <c r="AI156" s="7">
        <f t="shared" si="37"/>
        <v>477.68781983317336</v>
      </c>
    </row>
    <row r="157" spans="1:35" x14ac:dyDescent="0.25">
      <c r="A157">
        <v>176.791</v>
      </c>
      <c r="B157">
        <v>7.3220000000000001</v>
      </c>
      <c r="C157">
        <v>78.575999999999993</v>
      </c>
      <c r="D157">
        <v>526.94799999999998</v>
      </c>
      <c r="E157">
        <v>349.20800000000003</v>
      </c>
      <c r="F157">
        <v>2.5939999999999999</v>
      </c>
      <c r="G157">
        <v>81.388000000000005</v>
      </c>
      <c r="H157">
        <v>80.254999999999995</v>
      </c>
      <c r="I157">
        <v>5.2149999999999999</v>
      </c>
      <c r="J157">
        <v>7.7220000000000004</v>
      </c>
      <c r="K157">
        <v>54423.222999999998</v>
      </c>
      <c r="L157">
        <v>20.363</v>
      </c>
      <c r="N157">
        <v>281.87435999999997</v>
      </c>
      <c r="O157">
        <v>353.48462999999998</v>
      </c>
      <c r="P157">
        <v>918.51250399999992</v>
      </c>
      <c r="Q157">
        <v>714.46698399999991</v>
      </c>
      <c r="R157">
        <f t="shared" si="27"/>
        <v>1.7426810187192492</v>
      </c>
      <c r="S157">
        <v>1.6902451363657267</v>
      </c>
      <c r="T157">
        <v>71.610270000000014</v>
      </c>
      <c r="U157">
        <v>204.04552000000001</v>
      </c>
      <c r="V157">
        <v>565.02787399999988</v>
      </c>
      <c r="W157">
        <v>0.23438710919242195</v>
      </c>
      <c r="X157">
        <f t="shared" si="28"/>
        <v>0.67694401591154663</v>
      </c>
      <c r="Y157">
        <f t="shared" si="29"/>
        <v>1.8077337907965776</v>
      </c>
      <c r="AA157" s="3">
        <f t="shared" si="30"/>
        <v>729.30616070843655</v>
      </c>
      <c r="AB157" s="6">
        <f t="shared" si="31"/>
        <v>715.54108084618815</v>
      </c>
      <c r="AC157" s="3">
        <f t="shared" si="32"/>
        <v>710.62498089538508</v>
      </c>
      <c r="AD157">
        <f t="shared" si="33"/>
        <v>462.54551519050329</v>
      </c>
      <c r="AE157">
        <f t="shared" si="34"/>
        <v>1.2609341877634561</v>
      </c>
      <c r="AF157">
        <f t="shared" si="35"/>
        <v>4.3139009816413589E-2</v>
      </c>
      <c r="AG157">
        <f t="shared" si="36"/>
        <v>4.3139009816413589E-2</v>
      </c>
      <c r="AI157" s="7">
        <f t="shared" si="37"/>
        <v>482.90851519050335</v>
      </c>
    </row>
    <row r="158" spans="1:35" x14ac:dyDescent="0.25">
      <c r="A158">
        <v>177.791</v>
      </c>
      <c r="B158">
        <v>7.4470000000000001</v>
      </c>
      <c r="C158">
        <v>78.599999999999994</v>
      </c>
      <c r="D158">
        <v>527.19299999999998</v>
      </c>
      <c r="E158">
        <v>349.18299999999999</v>
      </c>
      <c r="F158">
        <v>2.5779999999999998</v>
      </c>
      <c r="G158">
        <v>81.724000000000004</v>
      </c>
      <c r="H158">
        <v>80.150999999999996</v>
      </c>
      <c r="I158">
        <v>5.4820000000000002</v>
      </c>
      <c r="J158">
        <v>7.2279999999999998</v>
      </c>
      <c r="K158">
        <v>54449.944000000003</v>
      </c>
      <c r="L158">
        <v>19.727</v>
      </c>
      <c r="N158">
        <v>281.99998499999992</v>
      </c>
      <c r="O158">
        <v>353.50874999999996</v>
      </c>
      <c r="P158">
        <v>918.7937639999999</v>
      </c>
      <c r="Q158">
        <v>714.43828399999995</v>
      </c>
      <c r="R158">
        <f t="shared" si="27"/>
        <v>1.7461113520239822</v>
      </c>
      <c r="S158">
        <v>1.6851498412581896</v>
      </c>
      <c r="T158">
        <v>71.508765000000039</v>
      </c>
      <c r="U158">
        <v>204.35547999999994</v>
      </c>
      <c r="V158">
        <v>565.28501399999993</v>
      </c>
      <c r="W158">
        <v>0.23500837933057239</v>
      </c>
      <c r="X158">
        <f t="shared" si="28"/>
        <v>0.6808045424690734</v>
      </c>
      <c r="Y158">
        <f t="shared" si="29"/>
        <v>1.8197252078203245</v>
      </c>
      <c r="AA158" s="3">
        <f t="shared" si="30"/>
        <v>729.91082735701104</v>
      </c>
      <c r="AB158" s="6">
        <f t="shared" si="31"/>
        <v>716.21568267642988</v>
      </c>
      <c r="AC158" s="3">
        <f t="shared" si="32"/>
        <v>711.32455957622233</v>
      </c>
      <c r="AD158">
        <f t="shared" si="33"/>
        <v>464.2786226234017</v>
      </c>
      <c r="AE158">
        <f t="shared" si="34"/>
        <v>1.2609341877634561</v>
      </c>
      <c r="AF158">
        <f t="shared" si="35"/>
        <v>4.3139009816413589E-2</v>
      </c>
      <c r="AG158">
        <f t="shared" si="36"/>
        <v>4.3139009816413589E-2</v>
      </c>
      <c r="AI158" s="7">
        <f t="shared" si="37"/>
        <v>484.00562262340173</v>
      </c>
    </row>
    <row r="159" spans="1:35" x14ac:dyDescent="0.25">
      <c r="A159">
        <v>178.792</v>
      </c>
      <c r="B159">
        <v>7.5129999999999999</v>
      </c>
      <c r="C159">
        <v>78.676000000000002</v>
      </c>
      <c r="D159">
        <v>527.75400000000002</v>
      </c>
      <c r="E159">
        <v>349.28899999999999</v>
      </c>
      <c r="F159">
        <v>2.5569999999999999</v>
      </c>
      <c r="G159">
        <v>81.049000000000007</v>
      </c>
      <c r="H159">
        <v>79.691999999999993</v>
      </c>
      <c r="I159">
        <v>5.3170000000000002</v>
      </c>
      <c r="J159">
        <v>8.7639999999999993</v>
      </c>
      <c r="K159">
        <v>54466.37</v>
      </c>
      <c r="L159">
        <v>19.859000000000002</v>
      </c>
      <c r="N159">
        <v>282.06631499999992</v>
      </c>
      <c r="O159">
        <v>353.58512999999994</v>
      </c>
      <c r="P159">
        <v>919.43779199999994</v>
      </c>
      <c r="Q159">
        <v>714.5599719999999</v>
      </c>
      <c r="R159">
        <f t="shared" si="27"/>
        <v>1.7400925917195471</v>
      </c>
      <c r="S159">
        <v>1.6834869551632556</v>
      </c>
      <c r="T159">
        <v>71.518815000000018</v>
      </c>
      <c r="U159">
        <v>204.87782000000004</v>
      </c>
      <c r="V159">
        <v>565.85266200000001</v>
      </c>
      <c r="W159">
        <v>0.235677966996999</v>
      </c>
      <c r="X159">
        <f t="shared" si="28"/>
        <v>0.67630865044477373</v>
      </c>
      <c r="Y159">
        <f t="shared" si="29"/>
        <v>1.8263338319122369</v>
      </c>
      <c r="AA159" s="3">
        <f t="shared" si="30"/>
        <v>730.54731177862402</v>
      </c>
      <c r="AB159" s="6">
        <f t="shared" si="31"/>
        <v>716.8668446244676</v>
      </c>
      <c r="AC159" s="3">
        <f t="shared" si="32"/>
        <v>711.98096349798323</v>
      </c>
      <c r="AD159">
        <f t="shared" si="33"/>
        <v>465.62466779346829</v>
      </c>
      <c r="AE159">
        <f t="shared" si="34"/>
        <v>1.2609341877634561</v>
      </c>
      <c r="AF159">
        <f t="shared" si="35"/>
        <v>4.3139009816413589E-2</v>
      </c>
      <c r="AG159">
        <f t="shared" si="36"/>
        <v>4.3139009816413589E-2</v>
      </c>
      <c r="AI159" s="7">
        <f t="shared" si="37"/>
        <v>485.48366779346827</v>
      </c>
    </row>
    <row r="160" spans="1:35" x14ac:dyDescent="0.25">
      <c r="A160">
        <v>179.792</v>
      </c>
      <c r="B160">
        <v>7.5</v>
      </c>
      <c r="C160">
        <v>78.757000000000005</v>
      </c>
      <c r="D160">
        <v>525.51199999999994</v>
      </c>
      <c r="E160">
        <v>348.73099999999999</v>
      </c>
      <c r="F160">
        <v>2.556</v>
      </c>
      <c r="G160">
        <v>81.22</v>
      </c>
      <c r="H160">
        <v>79.802999999999997</v>
      </c>
      <c r="I160">
        <v>5.3129999999999997</v>
      </c>
      <c r="J160">
        <v>7.835</v>
      </c>
      <c r="K160">
        <v>54440.764999999999</v>
      </c>
      <c r="L160">
        <v>19.995999999999999</v>
      </c>
      <c r="N160">
        <v>282.05324999999993</v>
      </c>
      <c r="O160">
        <v>353.66653499999995</v>
      </c>
      <c r="P160">
        <v>916.86397599999987</v>
      </c>
      <c r="Q160">
        <v>713.91938799999991</v>
      </c>
      <c r="R160">
        <f t="shared" si="27"/>
        <v>1.741721354755978</v>
      </c>
      <c r="S160">
        <v>1.6845689393730527</v>
      </c>
      <c r="T160">
        <v>71.613285000000019</v>
      </c>
      <c r="U160">
        <v>202.94458799999995</v>
      </c>
      <c r="V160">
        <v>563.19744099999991</v>
      </c>
      <c r="W160">
        <v>0.23318874241830931</v>
      </c>
      <c r="X160">
        <f t="shared" si="28"/>
        <v>0.67661871690191933</v>
      </c>
      <c r="Y160">
        <f t="shared" si="29"/>
        <v>1.8120862023527331</v>
      </c>
      <c r="AA160" s="3">
        <f t="shared" si="30"/>
        <v>728.421235606594</v>
      </c>
      <c r="AB160" s="6">
        <f t="shared" si="31"/>
        <v>714.76330919676514</v>
      </c>
      <c r="AC160" s="3">
        <f t="shared" si="32"/>
        <v>709.88547833611187</v>
      </c>
      <c r="AD160">
        <f t="shared" si="33"/>
        <v>461.7984213006502</v>
      </c>
      <c r="AE160">
        <f t="shared" si="34"/>
        <v>1.2609341877634561</v>
      </c>
      <c r="AF160">
        <f t="shared" si="35"/>
        <v>4.3139009816413589E-2</v>
      </c>
      <c r="AG160">
        <f t="shared" si="36"/>
        <v>4.3139009816413589E-2</v>
      </c>
      <c r="AI160" s="7">
        <f t="shared" si="37"/>
        <v>481.79442130065019</v>
      </c>
    </row>
    <row r="161" spans="1:35" x14ac:dyDescent="0.25">
      <c r="A161">
        <v>180.792</v>
      </c>
      <c r="B161">
        <v>7.5030000000000001</v>
      </c>
      <c r="C161">
        <v>78.759</v>
      </c>
      <c r="D161">
        <v>526.81299999999999</v>
      </c>
      <c r="E161">
        <v>348.911</v>
      </c>
      <c r="F161">
        <v>2.569</v>
      </c>
      <c r="G161">
        <v>81.441999999999993</v>
      </c>
      <c r="H161">
        <v>79.942999999999998</v>
      </c>
      <c r="I161">
        <v>5.3170000000000002</v>
      </c>
      <c r="J161">
        <v>7.798</v>
      </c>
      <c r="K161">
        <v>54413.404999999999</v>
      </c>
      <c r="L161">
        <v>20.599</v>
      </c>
      <c r="N161">
        <v>282.05626499999994</v>
      </c>
      <c r="O161">
        <v>353.66854499999994</v>
      </c>
      <c r="P161">
        <v>918.3575239999999</v>
      </c>
      <c r="Q161">
        <v>714.12602799999991</v>
      </c>
      <c r="R161">
        <f t="shared" si="27"/>
        <v>1.7436008635887961</v>
      </c>
      <c r="S161">
        <v>1.685793580047235</v>
      </c>
      <c r="T161">
        <v>71.612279999999998</v>
      </c>
      <c r="U161">
        <v>204.23149599999999</v>
      </c>
      <c r="V161">
        <v>564.68897900000002</v>
      </c>
      <c r="W161">
        <v>0.23485355820978399</v>
      </c>
      <c r="X161">
        <f t="shared" si="28"/>
        <v>0.67805787118332739</v>
      </c>
      <c r="Y161">
        <f t="shared" si="29"/>
        <v>1.8182392383858279</v>
      </c>
      <c r="AA161" s="3">
        <f t="shared" si="30"/>
        <v>729.51603279357585</v>
      </c>
      <c r="AB161" s="6">
        <f t="shared" si="31"/>
        <v>715.81801139232675</v>
      </c>
      <c r="AC161" s="3">
        <f t="shared" si="32"/>
        <v>710.92586089188057</v>
      </c>
      <c r="AD161">
        <f t="shared" si="33"/>
        <v>463.96777706731143</v>
      </c>
      <c r="AE161">
        <f t="shared" si="34"/>
        <v>1.2609341877634561</v>
      </c>
      <c r="AF161">
        <f t="shared" si="35"/>
        <v>4.3139009816413589E-2</v>
      </c>
      <c r="AG161">
        <f t="shared" si="36"/>
        <v>4.3139009816413589E-2</v>
      </c>
      <c r="AI161" s="7">
        <f t="shared" si="37"/>
        <v>484.56677706731142</v>
      </c>
    </row>
    <row r="162" spans="1:35" x14ac:dyDescent="0.25">
      <c r="A162">
        <v>181.792</v>
      </c>
      <c r="B162">
        <v>7.4050000000000002</v>
      </c>
      <c r="C162">
        <v>78.691999999999993</v>
      </c>
      <c r="D162">
        <v>527.92100000000005</v>
      </c>
      <c r="E162">
        <v>348.75799999999998</v>
      </c>
      <c r="F162">
        <v>2.5739999999999998</v>
      </c>
      <c r="G162">
        <v>81.183000000000007</v>
      </c>
      <c r="H162">
        <v>79.739000000000004</v>
      </c>
      <c r="I162">
        <v>5.6369999999999996</v>
      </c>
      <c r="J162">
        <v>7.3810000000000002</v>
      </c>
      <c r="K162">
        <v>54415.006000000001</v>
      </c>
      <c r="L162">
        <v>19.771000000000001</v>
      </c>
      <c r="N162">
        <v>281.95777499999991</v>
      </c>
      <c r="O162">
        <v>353.60120999999992</v>
      </c>
      <c r="P162">
        <v>919.62950799999999</v>
      </c>
      <c r="Q162">
        <v>713.95038399999987</v>
      </c>
      <c r="R162">
        <f t="shared" si="27"/>
        <v>1.7410769839923073</v>
      </c>
      <c r="S162">
        <v>1.6789814636649349</v>
      </c>
      <c r="T162">
        <v>71.643435000000011</v>
      </c>
      <c r="U162">
        <v>205.67912400000012</v>
      </c>
      <c r="V162">
        <v>566.02829800000006</v>
      </c>
      <c r="W162">
        <v>0.2368003321982324</v>
      </c>
      <c r="X162">
        <f t="shared" si="28"/>
        <v>0.67561749933514315</v>
      </c>
      <c r="Y162">
        <f t="shared" si="29"/>
        <v>1.8419713888854932</v>
      </c>
      <c r="AA162" s="3">
        <f t="shared" si="30"/>
        <v>731.0387721497882</v>
      </c>
      <c r="AB162" s="6">
        <f t="shared" si="31"/>
        <v>717.42139451224693</v>
      </c>
      <c r="AC162" s="3">
        <f t="shared" si="32"/>
        <v>712.55804535598224</v>
      </c>
      <c r="AD162">
        <f t="shared" si="33"/>
        <v>468.2934483847913</v>
      </c>
      <c r="AE162">
        <f t="shared" si="34"/>
        <v>1.2609341877634561</v>
      </c>
      <c r="AF162">
        <f t="shared" si="35"/>
        <v>4.3139009816413589E-2</v>
      </c>
      <c r="AG162">
        <f t="shared" si="36"/>
        <v>4.3139009816413589E-2</v>
      </c>
      <c r="AI162" s="7">
        <f t="shared" si="37"/>
        <v>488.06444838479132</v>
      </c>
    </row>
    <row r="163" spans="1:35" x14ac:dyDescent="0.25">
      <c r="A163">
        <v>182.792</v>
      </c>
      <c r="B163">
        <v>7.4749999999999996</v>
      </c>
      <c r="C163">
        <v>78.734999999999999</v>
      </c>
      <c r="D163">
        <v>525.84199999999998</v>
      </c>
      <c r="E163">
        <v>348.80799999999999</v>
      </c>
      <c r="F163">
        <v>2.5760000000000001</v>
      </c>
      <c r="G163">
        <v>81.361999999999995</v>
      </c>
      <c r="H163">
        <v>79.977000000000004</v>
      </c>
      <c r="I163">
        <v>5.4189999999999996</v>
      </c>
      <c r="J163">
        <v>8.5920000000000005</v>
      </c>
      <c r="K163">
        <v>54404.307000000001</v>
      </c>
      <c r="L163">
        <v>19.797999999999998</v>
      </c>
      <c r="N163">
        <v>282.02812499999999</v>
      </c>
      <c r="O163">
        <v>353.64442499999996</v>
      </c>
      <c r="P163">
        <v>917.24281599999983</v>
      </c>
      <c r="Q163">
        <v>714.0077839999999</v>
      </c>
      <c r="R163">
        <f t="shared" si="27"/>
        <v>1.7427316263810853</v>
      </c>
      <c r="S163">
        <v>1.6845270338508433</v>
      </c>
      <c r="T163">
        <v>71.616299999999967</v>
      </c>
      <c r="U163">
        <v>203.23503199999993</v>
      </c>
      <c r="V163">
        <v>563.59839099999988</v>
      </c>
      <c r="W163">
        <v>0.23353283845695008</v>
      </c>
      <c r="X163">
        <f t="shared" si="28"/>
        <v>0.67729455962097096</v>
      </c>
      <c r="Y163">
        <f t="shared" si="29"/>
        <v>1.814011084331804</v>
      </c>
      <c r="AA163" s="3">
        <f t="shared" si="30"/>
        <v>728.72535107985186</v>
      </c>
      <c r="AB163" s="6">
        <f t="shared" si="31"/>
        <v>715.06239156760091</v>
      </c>
      <c r="AC163" s="3">
        <f t="shared" si="32"/>
        <v>710.18276317036839</v>
      </c>
      <c r="AD163">
        <f t="shared" si="33"/>
        <v>462.35017361217865</v>
      </c>
      <c r="AE163">
        <f t="shared" si="34"/>
        <v>1.2609341877634561</v>
      </c>
      <c r="AF163">
        <f t="shared" si="35"/>
        <v>4.3139009816413589E-2</v>
      </c>
      <c r="AG163">
        <f t="shared" si="36"/>
        <v>4.3139009816413589E-2</v>
      </c>
      <c r="AI163" s="7">
        <f t="shared" si="37"/>
        <v>482.14817361217865</v>
      </c>
    </row>
    <row r="164" spans="1:35" x14ac:dyDescent="0.25">
      <c r="A164">
        <v>183.792</v>
      </c>
      <c r="B164">
        <v>7.3319999999999999</v>
      </c>
      <c r="C164">
        <v>78.789000000000001</v>
      </c>
      <c r="D164">
        <v>522.31500000000005</v>
      </c>
      <c r="E164">
        <v>348.25900000000001</v>
      </c>
      <c r="F164">
        <v>2.556</v>
      </c>
      <c r="G164">
        <v>81.358000000000004</v>
      </c>
      <c r="H164">
        <v>79.941999999999993</v>
      </c>
      <c r="I164">
        <v>5.5739999999999998</v>
      </c>
      <c r="J164">
        <v>7.798</v>
      </c>
      <c r="K164">
        <v>54387.21</v>
      </c>
      <c r="L164">
        <v>20.347000000000001</v>
      </c>
      <c r="N164">
        <v>281.88440999999995</v>
      </c>
      <c r="O164">
        <v>353.69869499999993</v>
      </c>
      <c r="P164">
        <v>913.19381999999996</v>
      </c>
      <c r="Q164">
        <v>713.37753199999997</v>
      </c>
      <c r="R164">
        <f t="shared" si="27"/>
        <v>1.7430225541223505</v>
      </c>
      <c r="S164">
        <v>1.6818123475805418</v>
      </c>
      <c r="T164">
        <v>71.814284999999984</v>
      </c>
      <c r="U164">
        <v>199.81628799999999</v>
      </c>
      <c r="V164">
        <v>559.49512500000003</v>
      </c>
      <c r="W164">
        <v>0.22878126596724144</v>
      </c>
      <c r="X164">
        <f t="shared" si="28"/>
        <v>0.67530254594495498</v>
      </c>
      <c r="Y164">
        <f t="shared" si="29"/>
        <v>1.7966077806747465</v>
      </c>
      <c r="AA164" s="3">
        <f t="shared" si="30"/>
        <v>725.71114423470112</v>
      </c>
      <c r="AB164" s="6">
        <f t="shared" si="31"/>
        <v>712.14789450255967</v>
      </c>
      <c r="AC164" s="3">
        <f t="shared" si="32"/>
        <v>707.30387674108056</v>
      </c>
      <c r="AD164">
        <f t="shared" si="33"/>
        <v>456.43893543153945</v>
      </c>
      <c r="AE164">
        <f t="shared" si="34"/>
        <v>1.2609341877634561</v>
      </c>
      <c r="AF164">
        <f t="shared" si="35"/>
        <v>4.3139009816413589E-2</v>
      </c>
      <c r="AG164">
        <f t="shared" si="36"/>
        <v>4.3139009816413589E-2</v>
      </c>
      <c r="AI164" s="7">
        <f t="shared" si="37"/>
        <v>476.78593543153949</v>
      </c>
    </row>
    <row r="165" spans="1:35" x14ac:dyDescent="0.25">
      <c r="A165">
        <v>184.792</v>
      </c>
      <c r="B165">
        <v>7.2</v>
      </c>
      <c r="C165">
        <v>78.813000000000002</v>
      </c>
      <c r="D165">
        <v>521.01300000000003</v>
      </c>
      <c r="E165">
        <v>348.89499999999998</v>
      </c>
      <c r="F165">
        <v>2.5640000000000001</v>
      </c>
      <c r="G165">
        <v>81.629000000000005</v>
      </c>
      <c r="H165">
        <v>80.233999999999995</v>
      </c>
      <c r="I165">
        <v>5.4249999999999998</v>
      </c>
      <c r="J165">
        <v>8.0340000000000007</v>
      </c>
      <c r="K165">
        <v>54360.934000000001</v>
      </c>
      <c r="L165">
        <v>20.571999999999999</v>
      </c>
      <c r="N165">
        <v>281.75174999999996</v>
      </c>
      <c r="O165">
        <v>353.72281499999991</v>
      </c>
      <c r="P165">
        <v>911.69912399999998</v>
      </c>
      <c r="Q165">
        <v>714.1076599999999</v>
      </c>
      <c r="R165">
        <f t="shared" si="27"/>
        <v>1.7454461457233372</v>
      </c>
      <c r="S165">
        <v>1.6867936653660773</v>
      </c>
      <c r="T165">
        <v>71.971064999999953</v>
      </c>
      <c r="U165">
        <v>197.59146400000009</v>
      </c>
      <c r="V165">
        <v>557.97630900000013</v>
      </c>
      <c r="W165">
        <v>0.22513572166735149</v>
      </c>
      <c r="X165">
        <f t="shared" si="28"/>
        <v>0.67533626893703469</v>
      </c>
      <c r="Y165">
        <f t="shared" si="29"/>
        <v>1.7700897662062252</v>
      </c>
      <c r="AA165" s="3">
        <f t="shared" si="30"/>
        <v>724.15244891613929</v>
      </c>
      <c r="AB165" s="6">
        <f t="shared" si="31"/>
        <v>710.53928620538863</v>
      </c>
      <c r="AC165" s="3">
        <f t="shared" si="32"/>
        <v>705.67744238012051</v>
      </c>
      <c r="AD165">
        <f t="shared" si="33"/>
        <v>450.75811820484432</v>
      </c>
      <c r="AE165">
        <f t="shared" si="34"/>
        <v>1.2609341877634561</v>
      </c>
      <c r="AF165">
        <f t="shared" si="35"/>
        <v>4.3139009816413589E-2</v>
      </c>
      <c r="AG165">
        <f t="shared" si="36"/>
        <v>4.3139009816413589E-2</v>
      </c>
      <c r="AI165" s="7">
        <f t="shared" si="37"/>
        <v>471.33011820484433</v>
      </c>
    </row>
    <row r="166" spans="1:35" x14ac:dyDescent="0.25">
      <c r="A166">
        <v>185.792</v>
      </c>
      <c r="B166">
        <v>7.0759999999999996</v>
      </c>
      <c r="C166">
        <v>78.807000000000002</v>
      </c>
      <c r="D166">
        <v>521.03599999999994</v>
      </c>
      <c r="E166">
        <v>349.43700000000001</v>
      </c>
      <c r="F166">
        <v>2.5870000000000002</v>
      </c>
      <c r="G166">
        <v>82.025999999999996</v>
      </c>
      <c r="H166">
        <v>80.643000000000001</v>
      </c>
      <c r="I166">
        <v>5.45</v>
      </c>
      <c r="J166">
        <v>8.6300000000000008</v>
      </c>
      <c r="K166">
        <v>54381.936999999998</v>
      </c>
      <c r="L166">
        <v>20.181999999999999</v>
      </c>
      <c r="N166">
        <v>281.62712999999997</v>
      </c>
      <c r="O166">
        <v>353.71678499999996</v>
      </c>
      <c r="P166">
        <v>911.72552799999983</v>
      </c>
      <c r="Q166">
        <v>714.72987599999988</v>
      </c>
      <c r="R166">
        <f t="shared" si="27"/>
        <v>1.7488099390123202</v>
      </c>
      <c r="S166">
        <v>1.6901606241395135</v>
      </c>
      <c r="T166">
        <v>72.089654999999993</v>
      </c>
      <c r="U166">
        <v>196.99565199999995</v>
      </c>
      <c r="V166">
        <v>558.00874299999987</v>
      </c>
      <c r="W166">
        <v>0.22384236549497932</v>
      </c>
      <c r="X166">
        <f t="shared" si="28"/>
        <v>0.67644752948837683</v>
      </c>
      <c r="Y166">
        <f t="shared" si="29"/>
        <v>1.7584245235182165</v>
      </c>
      <c r="AA166" s="3">
        <f t="shared" si="30"/>
        <v>723.92351312748906</v>
      </c>
      <c r="AB166" s="6">
        <f t="shared" si="31"/>
        <v>710.26136290227851</v>
      </c>
      <c r="AC166" s="3">
        <f t="shared" si="32"/>
        <v>705.38202353613201</v>
      </c>
      <c r="AD166">
        <f t="shared" si="33"/>
        <v>448.66506129141754</v>
      </c>
      <c r="AE166">
        <f t="shared" si="34"/>
        <v>1.2609341877634561</v>
      </c>
      <c r="AF166">
        <f t="shared" si="35"/>
        <v>4.3139009816413589E-2</v>
      </c>
      <c r="AG166">
        <f t="shared" si="36"/>
        <v>4.3139009816413589E-2</v>
      </c>
      <c r="AI166" s="7">
        <f t="shared" si="37"/>
        <v>468.84706129141756</v>
      </c>
    </row>
    <row r="167" spans="1:35" x14ac:dyDescent="0.25">
      <c r="A167">
        <v>186.792</v>
      </c>
      <c r="B167">
        <v>7.0659999999999998</v>
      </c>
      <c r="C167">
        <v>78.856999999999999</v>
      </c>
      <c r="D167">
        <v>522.06100000000004</v>
      </c>
      <c r="E167">
        <v>349.71699999999998</v>
      </c>
      <c r="F167">
        <v>2.585</v>
      </c>
      <c r="G167">
        <v>81.661000000000001</v>
      </c>
      <c r="H167">
        <v>80.254000000000005</v>
      </c>
      <c r="I167">
        <v>5.3250000000000002</v>
      </c>
      <c r="J167">
        <v>8.1010000000000009</v>
      </c>
      <c r="K167">
        <v>54409.491000000002</v>
      </c>
      <c r="L167">
        <v>20.335999999999999</v>
      </c>
      <c r="N167">
        <v>281.61707999999993</v>
      </c>
      <c r="O167">
        <v>353.76703499999991</v>
      </c>
      <c r="P167">
        <v>912.90222799999992</v>
      </c>
      <c r="Q167">
        <v>715.05131599999993</v>
      </c>
      <c r="R167">
        <f t="shared" si="27"/>
        <v>1.7454022717632089</v>
      </c>
      <c r="S167">
        <v>1.6885274523317253</v>
      </c>
      <c r="T167">
        <v>72.149954999999977</v>
      </c>
      <c r="U167">
        <v>197.85091199999999</v>
      </c>
      <c r="V167">
        <v>559.13519300000007</v>
      </c>
      <c r="W167">
        <v>0.22481317322481614</v>
      </c>
      <c r="X167">
        <f t="shared" si="28"/>
        <v>0.67330696610842566</v>
      </c>
      <c r="Y167">
        <f t="shared" si="29"/>
        <v>1.7668286221522771</v>
      </c>
      <c r="AA167" s="3">
        <f t="shared" si="30"/>
        <v>724.97912892648208</v>
      </c>
      <c r="AB167" s="6">
        <f t="shared" si="31"/>
        <v>711.32293177329802</v>
      </c>
      <c r="AC167" s="3">
        <f t="shared" si="32"/>
        <v>706.44571850430373</v>
      </c>
      <c r="AD167">
        <f t="shared" si="33"/>
        <v>450.66042576588899</v>
      </c>
      <c r="AE167">
        <f t="shared" si="34"/>
        <v>1.2609341877634561</v>
      </c>
      <c r="AF167">
        <f t="shared" si="35"/>
        <v>4.3139009816413589E-2</v>
      </c>
      <c r="AG167">
        <f t="shared" si="36"/>
        <v>4.3139009816413589E-2</v>
      </c>
      <c r="AI167" s="7">
        <f t="shared" si="37"/>
        <v>470.996425765889</v>
      </c>
    </row>
    <row r="168" spans="1:35" x14ac:dyDescent="0.25">
      <c r="A168">
        <v>187.792</v>
      </c>
      <c r="B168">
        <v>7.0460000000000003</v>
      </c>
      <c r="C168">
        <v>78.941999999999993</v>
      </c>
      <c r="D168">
        <v>522.21100000000001</v>
      </c>
      <c r="E168">
        <v>349.70100000000002</v>
      </c>
      <c r="F168">
        <v>2.5779999999999998</v>
      </c>
      <c r="G168">
        <v>81.718999999999994</v>
      </c>
      <c r="H168">
        <v>80.320999999999998</v>
      </c>
      <c r="I168">
        <v>5.3860000000000001</v>
      </c>
      <c r="J168">
        <v>8.1010000000000009</v>
      </c>
      <c r="K168">
        <v>54423.934999999998</v>
      </c>
      <c r="L168">
        <v>20.846</v>
      </c>
      <c r="N168">
        <v>281.59697999999992</v>
      </c>
      <c r="O168">
        <v>353.85245999999995</v>
      </c>
      <c r="P168">
        <v>913.0744279999999</v>
      </c>
      <c r="Q168">
        <v>715.03294799999992</v>
      </c>
      <c r="R168">
        <f t="shared" si="27"/>
        <v>1.7460642168970002</v>
      </c>
      <c r="S168">
        <v>1.6881968297118086</v>
      </c>
      <c r="T168">
        <v>72.255480000000034</v>
      </c>
      <c r="U168">
        <v>198.04147999999998</v>
      </c>
      <c r="V168">
        <v>559.22196799999995</v>
      </c>
      <c r="W168">
        <v>0.22493036253540016</v>
      </c>
      <c r="X168">
        <f t="shared" si="28"/>
        <v>0.67277072730515963</v>
      </c>
      <c r="Y168">
        <f t="shared" si="29"/>
        <v>1.7688157801916875</v>
      </c>
      <c r="AA168" s="3">
        <f t="shared" si="30"/>
        <v>725.14045957348958</v>
      </c>
      <c r="AB168" s="6">
        <f t="shared" si="31"/>
        <v>711.4864656016681</v>
      </c>
      <c r="AC168" s="3">
        <f t="shared" si="32"/>
        <v>706.61003918316044</v>
      </c>
      <c r="AD168">
        <f t="shared" si="33"/>
        <v>451.11753348925595</v>
      </c>
      <c r="AE168">
        <f t="shared" si="34"/>
        <v>1.2609341877634561</v>
      </c>
      <c r="AF168">
        <f t="shared" si="35"/>
        <v>4.3139009816413589E-2</v>
      </c>
      <c r="AG168">
        <f t="shared" si="36"/>
        <v>4.3139009816413589E-2</v>
      </c>
      <c r="AI168" s="7">
        <f t="shared" si="37"/>
        <v>471.96353348925595</v>
      </c>
    </row>
    <row r="169" spans="1:35" x14ac:dyDescent="0.25">
      <c r="A169">
        <v>188.792</v>
      </c>
      <c r="B169">
        <v>6.9509999999999996</v>
      </c>
      <c r="C169">
        <v>78.834000000000003</v>
      </c>
      <c r="D169">
        <v>521.06799999999998</v>
      </c>
      <c r="E169">
        <v>349.18400000000003</v>
      </c>
      <c r="F169">
        <v>2.5390000000000001</v>
      </c>
      <c r="G169">
        <v>81.326999999999998</v>
      </c>
      <c r="H169">
        <v>79.882000000000005</v>
      </c>
      <c r="I169">
        <v>5.298</v>
      </c>
      <c r="J169">
        <v>8.0630000000000006</v>
      </c>
      <c r="K169">
        <v>54427.008000000002</v>
      </c>
      <c r="L169">
        <v>20.029</v>
      </c>
      <c r="N169">
        <v>281.50150499999995</v>
      </c>
      <c r="O169">
        <v>353.74391999999995</v>
      </c>
      <c r="P169">
        <v>911.76226399999985</v>
      </c>
      <c r="Q169">
        <v>714.43943200000001</v>
      </c>
      <c r="R169">
        <f t="shared" si="27"/>
        <v>1.7430096473938834</v>
      </c>
      <c r="S169">
        <v>1.6855273074872701</v>
      </c>
      <c r="T169">
        <v>72.242414999999994</v>
      </c>
      <c r="U169">
        <v>197.32283199999983</v>
      </c>
      <c r="V169">
        <v>558.01834399999984</v>
      </c>
      <c r="W169">
        <v>0.2241510845385396</v>
      </c>
      <c r="X169">
        <f t="shared" si="28"/>
        <v>0.67037896185666812</v>
      </c>
      <c r="Y169">
        <f t="shared" si="29"/>
        <v>1.7699411328734453</v>
      </c>
      <c r="AA169" s="3">
        <f t="shared" si="30"/>
        <v>724.29675928670849</v>
      </c>
      <c r="AB169" s="6">
        <f t="shared" si="31"/>
        <v>710.70096248134632</v>
      </c>
      <c r="AC169" s="3">
        <f t="shared" si="32"/>
        <v>705.84532076514552</v>
      </c>
      <c r="AD169">
        <f t="shared" si="33"/>
        <v>450.43373081638885</v>
      </c>
      <c r="AE169">
        <f t="shared" si="34"/>
        <v>1.2609341877634561</v>
      </c>
      <c r="AF169">
        <f t="shared" si="35"/>
        <v>4.3139009816413589E-2</v>
      </c>
      <c r="AG169">
        <f t="shared" si="36"/>
        <v>4.3139009816413589E-2</v>
      </c>
      <c r="AI169" s="7">
        <f t="shared" si="37"/>
        <v>470.46273081638884</v>
      </c>
    </row>
    <row r="170" spans="1:35" x14ac:dyDescent="0.25">
      <c r="A170">
        <v>189.792</v>
      </c>
      <c r="B170">
        <v>6.9710000000000001</v>
      </c>
      <c r="C170">
        <v>78.733000000000004</v>
      </c>
      <c r="D170">
        <v>522.12900000000002</v>
      </c>
      <c r="E170">
        <v>349.16399999999999</v>
      </c>
      <c r="F170">
        <v>2.54</v>
      </c>
      <c r="G170">
        <v>81.411000000000001</v>
      </c>
      <c r="H170">
        <v>79.936000000000007</v>
      </c>
      <c r="I170">
        <v>5.3979999999999997</v>
      </c>
      <c r="J170">
        <v>7.4950000000000001</v>
      </c>
      <c r="K170">
        <v>54423.578999999998</v>
      </c>
      <c r="L170">
        <v>20.582999999999998</v>
      </c>
      <c r="N170">
        <v>281.52160499999997</v>
      </c>
      <c r="O170">
        <v>353.64241499999997</v>
      </c>
      <c r="P170">
        <v>912.98029199999996</v>
      </c>
      <c r="Q170">
        <v>714.41647199999989</v>
      </c>
      <c r="R170">
        <f t="shared" si="27"/>
        <v>1.7437853640135796</v>
      </c>
      <c r="S170">
        <v>1.6844753806314168</v>
      </c>
      <c r="T170">
        <v>72.120810000000006</v>
      </c>
      <c r="U170">
        <v>198.56382000000008</v>
      </c>
      <c r="V170">
        <v>559.33787699999993</v>
      </c>
      <c r="W170">
        <v>0.22605837222784769</v>
      </c>
      <c r="X170">
        <f t="shared" si="28"/>
        <v>0.67213890293572975</v>
      </c>
      <c r="Y170">
        <f t="shared" si="29"/>
        <v>1.7806899684357511</v>
      </c>
      <c r="AA170" s="3">
        <f t="shared" si="30"/>
        <v>725.34273809731872</v>
      </c>
      <c r="AB170" s="6">
        <f t="shared" si="31"/>
        <v>711.74402050513061</v>
      </c>
      <c r="AC170" s="3">
        <f t="shared" si="32"/>
        <v>706.8873356507778</v>
      </c>
      <c r="AD170">
        <f t="shared" si="33"/>
        <v>453.1349987363368</v>
      </c>
      <c r="AE170">
        <f t="shared" si="34"/>
        <v>1.2609341877634561</v>
      </c>
      <c r="AF170">
        <f t="shared" si="35"/>
        <v>4.3139009816413589E-2</v>
      </c>
      <c r="AG170">
        <f t="shared" si="36"/>
        <v>4.3139009816413589E-2</v>
      </c>
      <c r="AI170" s="7">
        <f t="shared" si="37"/>
        <v>473.71799873633677</v>
      </c>
    </row>
    <row r="171" spans="1:35" x14ac:dyDescent="0.25">
      <c r="A171">
        <v>190.792</v>
      </c>
      <c r="B171">
        <v>7.12</v>
      </c>
      <c r="C171">
        <v>78.775999999999996</v>
      </c>
      <c r="D171">
        <v>521.35500000000002</v>
      </c>
      <c r="E171">
        <v>349.10199999999998</v>
      </c>
      <c r="F171">
        <v>2.5680000000000001</v>
      </c>
      <c r="G171">
        <v>81.123000000000005</v>
      </c>
      <c r="H171">
        <v>79.796999999999997</v>
      </c>
      <c r="I171">
        <v>5.35</v>
      </c>
      <c r="J171">
        <v>7.9859999999999998</v>
      </c>
      <c r="K171">
        <v>54397.877</v>
      </c>
      <c r="L171">
        <v>20.094999999999999</v>
      </c>
      <c r="N171">
        <v>281.67134999999996</v>
      </c>
      <c r="O171">
        <v>353.68562999999995</v>
      </c>
      <c r="P171">
        <v>912.09173999999996</v>
      </c>
      <c r="Q171">
        <v>714.34529599999985</v>
      </c>
      <c r="R171">
        <f t="shared" si="27"/>
        <v>1.7406097974884036</v>
      </c>
      <c r="S171">
        <v>1.6839412034910428</v>
      </c>
      <c r="T171">
        <v>72.014279999999985</v>
      </c>
      <c r="U171">
        <v>197.74644400000011</v>
      </c>
      <c r="V171">
        <v>558.40611000000001</v>
      </c>
      <c r="W171">
        <v>0.22516258641940742</v>
      </c>
      <c r="X171">
        <f t="shared" si="28"/>
        <v>0.67110417114478538</v>
      </c>
      <c r="Y171">
        <f t="shared" si="29"/>
        <v>1.7760989528049214</v>
      </c>
      <c r="AA171" s="3">
        <f t="shared" si="30"/>
        <v>724.6765933089556</v>
      </c>
      <c r="AB171" s="6">
        <f t="shared" si="31"/>
        <v>711.09884756347481</v>
      </c>
      <c r="AC171" s="3">
        <f t="shared" si="32"/>
        <v>706.24965265437447</v>
      </c>
      <c r="AD171">
        <f t="shared" si="33"/>
        <v>451.65513614453477</v>
      </c>
      <c r="AE171">
        <f t="shared" si="34"/>
        <v>1.2609341877634561</v>
      </c>
      <c r="AF171">
        <f t="shared" si="35"/>
        <v>4.3139009816413589E-2</v>
      </c>
      <c r="AG171">
        <f t="shared" si="36"/>
        <v>4.3139009816413589E-2</v>
      </c>
      <c r="AI171" s="7">
        <f t="shared" si="37"/>
        <v>471.75013614453474</v>
      </c>
    </row>
    <row r="172" spans="1:35" x14ac:dyDescent="0.25">
      <c r="A172">
        <v>191.792</v>
      </c>
      <c r="B172">
        <v>7.194</v>
      </c>
      <c r="C172">
        <v>78.575999999999993</v>
      </c>
      <c r="D172">
        <v>523.97799999999995</v>
      </c>
      <c r="E172">
        <v>349.12900000000002</v>
      </c>
      <c r="F172">
        <v>2.56</v>
      </c>
      <c r="G172">
        <v>81.436000000000007</v>
      </c>
      <c r="H172">
        <v>79.881</v>
      </c>
      <c r="I172">
        <v>5.4710000000000001</v>
      </c>
      <c r="J172">
        <v>7.5279999999999996</v>
      </c>
      <c r="K172">
        <v>54366.546000000002</v>
      </c>
      <c r="L172">
        <v>20.565999999999999</v>
      </c>
      <c r="N172">
        <v>281.74571999999995</v>
      </c>
      <c r="O172">
        <v>353.48462999999998</v>
      </c>
      <c r="P172">
        <v>915.10294399999987</v>
      </c>
      <c r="Q172">
        <v>714.37629199999992</v>
      </c>
      <c r="R172">
        <f t="shared" si="27"/>
        <v>1.7436922496699983</v>
      </c>
      <c r="S172">
        <v>1.6828422240779657</v>
      </c>
      <c r="T172">
        <v>71.738910000000033</v>
      </c>
      <c r="U172">
        <v>200.72665199999994</v>
      </c>
      <c r="V172">
        <v>561.61831399999983</v>
      </c>
      <c r="W172">
        <v>0.22967153809731344</v>
      </c>
      <c r="X172">
        <f t="shared" si="28"/>
        <v>0.67618470596151192</v>
      </c>
      <c r="Y172">
        <f t="shared" si="29"/>
        <v>1.7990441822786472</v>
      </c>
      <c r="AA172" s="3">
        <f t="shared" si="30"/>
        <v>727.15124165238251</v>
      </c>
      <c r="AB172" s="6">
        <f t="shared" si="31"/>
        <v>713.54464975145686</v>
      </c>
      <c r="AC172" s="3">
        <f t="shared" si="32"/>
        <v>708.68515264398343</v>
      </c>
      <c r="AD172">
        <f t="shared" si="33"/>
        <v>457.76187240676234</v>
      </c>
      <c r="AE172">
        <f t="shared" si="34"/>
        <v>1.2609341877634561</v>
      </c>
      <c r="AF172">
        <f t="shared" si="35"/>
        <v>4.3139009816413589E-2</v>
      </c>
      <c r="AG172">
        <f t="shared" si="36"/>
        <v>4.3139009816413589E-2</v>
      </c>
      <c r="AI172" s="7">
        <f t="shared" si="37"/>
        <v>478.32787240676225</v>
      </c>
    </row>
    <row r="173" spans="1:35" x14ac:dyDescent="0.25">
      <c r="A173">
        <v>192.792</v>
      </c>
      <c r="B173">
        <v>7.18</v>
      </c>
      <c r="C173">
        <v>78.596999999999994</v>
      </c>
      <c r="D173">
        <v>525.505</v>
      </c>
      <c r="E173">
        <v>348.923</v>
      </c>
      <c r="F173">
        <v>2.5840000000000001</v>
      </c>
      <c r="G173">
        <v>81.569000000000003</v>
      </c>
      <c r="H173">
        <v>80.066999999999993</v>
      </c>
      <c r="I173">
        <v>5.4539999999999997</v>
      </c>
      <c r="J173">
        <v>7.8730000000000002</v>
      </c>
      <c r="K173">
        <v>54360.828000000001</v>
      </c>
      <c r="L173">
        <v>20.884</v>
      </c>
      <c r="N173">
        <v>281.73164999999995</v>
      </c>
      <c r="O173">
        <v>353.5057349999999</v>
      </c>
      <c r="P173">
        <v>916.85593999999992</v>
      </c>
      <c r="Q173">
        <v>714.13980399999991</v>
      </c>
      <c r="R173">
        <f t="shared" si="27"/>
        <v>1.7445514875004715</v>
      </c>
      <c r="S173">
        <v>1.6848119389834244</v>
      </c>
      <c r="T173">
        <v>71.774084999999957</v>
      </c>
      <c r="U173">
        <v>202.71613600000001</v>
      </c>
      <c r="V173">
        <v>563.35020499999996</v>
      </c>
      <c r="W173">
        <v>0.23243454930490362</v>
      </c>
      <c r="X173">
        <f t="shared" si="28"/>
        <v>0.67646724753127618</v>
      </c>
      <c r="Y173">
        <f t="shared" si="29"/>
        <v>1.80959362896568</v>
      </c>
      <c r="AA173" s="3">
        <f t="shared" si="30"/>
        <v>728.39666245674198</v>
      </c>
      <c r="AB173" s="6">
        <f t="shared" si="31"/>
        <v>714.73531904555284</v>
      </c>
      <c r="AC173" s="3">
        <f t="shared" si="32"/>
        <v>709.85626782727104</v>
      </c>
      <c r="AD173">
        <f t="shared" si="33"/>
        <v>461.25121628955014</v>
      </c>
      <c r="AE173">
        <f t="shared" si="34"/>
        <v>1.2609341877634561</v>
      </c>
      <c r="AF173">
        <f t="shared" si="35"/>
        <v>4.3139009816413589E-2</v>
      </c>
      <c r="AG173">
        <f t="shared" si="36"/>
        <v>4.3139009816413589E-2</v>
      </c>
      <c r="AI173" s="7">
        <f t="shared" si="37"/>
        <v>482.13521628955021</v>
      </c>
    </row>
    <row r="174" spans="1:35" x14ac:dyDescent="0.25">
      <c r="A174">
        <v>193.792</v>
      </c>
      <c r="B174">
        <v>7.133</v>
      </c>
      <c r="C174">
        <v>78.721000000000004</v>
      </c>
      <c r="D174">
        <v>521.81500000000005</v>
      </c>
      <c r="E174">
        <v>349.48</v>
      </c>
      <c r="F174">
        <v>2.5649999999999999</v>
      </c>
      <c r="G174">
        <v>80.649000000000001</v>
      </c>
      <c r="H174">
        <v>79.302000000000007</v>
      </c>
      <c r="I174">
        <v>5.4820000000000002</v>
      </c>
      <c r="J174">
        <v>7.1909999999999998</v>
      </c>
      <c r="K174">
        <v>54375.741999999998</v>
      </c>
      <c r="L174">
        <v>20.292000000000002</v>
      </c>
      <c r="N174">
        <v>281.68441499999994</v>
      </c>
      <c r="O174">
        <v>353.63035499999995</v>
      </c>
      <c r="P174">
        <v>912.61982</v>
      </c>
      <c r="Q174">
        <v>714.77923999999996</v>
      </c>
      <c r="R174">
        <f t="shared" si="27"/>
        <v>1.7361900721255834</v>
      </c>
      <c r="S174">
        <v>1.6773595639646917</v>
      </c>
      <c r="T174">
        <v>71.945940000000007</v>
      </c>
      <c r="U174">
        <v>197.84058000000005</v>
      </c>
      <c r="V174">
        <v>558.98946500000011</v>
      </c>
      <c r="W174">
        <v>0.22521826954287952</v>
      </c>
      <c r="X174">
        <f t="shared" si="28"/>
        <v>0.66844199854669217</v>
      </c>
      <c r="Y174">
        <f t="shared" si="29"/>
        <v>1.7885064220288029</v>
      </c>
      <c r="AA174" s="3">
        <f t="shared" si="30"/>
        <v>725.58800561423334</v>
      </c>
      <c r="AB174" s="6">
        <f t="shared" si="31"/>
        <v>712.09803448366756</v>
      </c>
      <c r="AC174" s="3">
        <f t="shared" si="32"/>
        <v>707.28018765132265</v>
      </c>
      <c r="AD174">
        <f t="shared" si="33"/>
        <v>453.23129544913462</v>
      </c>
      <c r="AE174">
        <f t="shared" si="34"/>
        <v>1.2609341877634561</v>
      </c>
      <c r="AF174">
        <f t="shared" si="35"/>
        <v>4.3139009816413589E-2</v>
      </c>
      <c r="AG174">
        <f t="shared" si="36"/>
        <v>4.3139009816413589E-2</v>
      </c>
      <c r="AI174" s="7">
        <f t="shared" si="37"/>
        <v>473.52329544913459</v>
      </c>
    </row>
    <row r="175" spans="1:35" x14ac:dyDescent="0.25">
      <c r="A175">
        <v>194.79300000000001</v>
      </c>
      <c r="B175">
        <v>7.0830000000000002</v>
      </c>
      <c r="C175">
        <v>78.846999999999994</v>
      </c>
      <c r="D175">
        <v>520.15599999999995</v>
      </c>
      <c r="E175">
        <v>349.41300000000001</v>
      </c>
      <c r="F175">
        <v>2.581</v>
      </c>
      <c r="G175">
        <v>81.117000000000004</v>
      </c>
      <c r="H175">
        <v>79.86</v>
      </c>
      <c r="I175">
        <v>5.5090000000000003</v>
      </c>
      <c r="J175">
        <v>8.1389999999999993</v>
      </c>
      <c r="K175">
        <v>54375.781999999999</v>
      </c>
      <c r="L175">
        <v>20.786000000000001</v>
      </c>
      <c r="N175">
        <v>281.634165</v>
      </c>
      <c r="O175">
        <v>353.75698499999993</v>
      </c>
      <c r="P175">
        <v>910.71528799999987</v>
      </c>
      <c r="Q175">
        <v>714.70232399999998</v>
      </c>
      <c r="R175">
        <f t="shared" si="27"/>
        <v>1.7403399289222388</v>
      </c>
      <c r="S175">
        <v>1.6820629489308223</v>
      </c>
      <c r="T175">
        <v>72.122819999999933</v>
      </c>
      <c r="U175">
        <v>196.0129639999999</v>
      </c>
      <c r="V175">
        <v>556.95830299999989</v>
      </c>
      <c r="W175">
        <v>0.22244060880801697</v>
      </c>
      <c r="X175">
        <f t="shared" si="28"/>
        <v>0.66980307070070622</v>
      </c>
      <c r="Y175">
        <f t="shared" si="29"/>
        <v>1.7667332324800047</v>
      </c>
      <c r="AA175" s="3">
        <f t="shared" si="30"/>
        <v>723.72279539392969</v>
      </c>
      <c r="AB175" s="6">
        <f t="shared" si="31"/>
        <v>710.19272783163831</v>
      </c>
      <c r="AC175" s="3">
        <f t="shared" si="32"/>
        <v>705.36056084510562</v>
      </c>
      <c r="AD175">
        <f t="shared" si="33"/>
        <v>448.55083892624879</v>
      </c>
      <c r="AE175">
        <f t="shared" si="34"/>
        <v>1.2609341877634561</v>
      </c>
      <c r="AF175">
        <f t="shared" si="35"/>
        <v>4.3139009816413589E-2</v>
      </c>
      <c r="AG175">
        <f t="shared" si="36"/>
        <v>4.3139009816413589E-2</v>
      </c>
      <c r="AI175" s="7">
        <f t="shared" si="37"/>
        <v>469.33683892624873</v>
      </c>
    </row>
    <row r="176" spans="1:35" x14ac:dyDescent="0.25">
      <c r="A176">
        <v>195.79300000000001</v>
      </c>
      <c r="B176">
        <v>7.0810000000000004</v>
      </c>
      <c r="C176">
        <v>78.902000000000001</v>
      </c>
      <c r="D176">
        <v>518.81600000000003</v>
      </c>
      <c r="E176">
        <v>349.12400000000002</v>
      </c>
      <c r="F176">
        <v>2.5569999999999999</v>
      </c>
      <c r="G176">
        <v>81.326999999999998</v>
      </c>
      <c r="H176">
        <v>79.900999999999996</v>
      </c>
      <c r="I176">
        <v>5.5010000000000003</v>
      </c>
      <c r="J176">
        <v>7.6840000000000002</v>
      </c>
      <c r="K176">
        <v>54362.697</v>
      </c>
      <c r="L176">
        <v>20.111000000000001</v>
      </c>
      <c r="N176">
        <v>281.63215499999995</v>
      </c>
      <c r="O176">
        <v>353.81225999999992</v>
      </c>
      <c r="P176">
        <v>909.17696799999999</v>
      </c>
      <c r="Q176">
        <v>714.37055199999998</v>
      </c>
      <c r="R176">
        <f t="shared" si="27"/>
        <v>1.7427138236985771</v>
      </c>
      <c r="S176">
        <v>1.6825625452977495</v>
      </c>
      <c r="T176">
        <v>72.180104999999969</v>
      </c>
      <c r="U176">
        <v>194.80641600000001</v>
      </c>
      <c r="V176">
        <v>555.36470800000006</v>
      </c>
      <c r="W176">
        <v>0.22080321135566294</v>
      </c>
      <c r="X176">
        <f t="shared" si="28"/>
        <v>0.67104730705085536</v>
      </c>
      <c r="Y176">
        <f t="shared" si="29"/>
        <v>1.7578890386015893</v>
      </c>
      <c r="AA176" s="3">
        <f t="shared" si="30"/>
        <v>722.46318308887487</v>
      </c>
      <c r="AB176" s="6">
        <f t="shared" si="31"/>
        <v>708.94874646726726</v>
      </c>
      <c r="AC176" s="3">
        <f t="shared" si="32"/>
        <v>704.12216195955023</v>
      </c>
      <c r="AD176">
        <f t="shared" si="33"/>
        <v>446.10000884201474</v>
      </c>
      <c r="AE176">
        <f t="shared" si="34"/>
        <v>1.2609341877634561</v>
      </c>
      <c r="AF176">
        <f t="shared" si="35"/>
        <v>4.3139009816413589E-2</v>
      </c>
      <c r="AG176">
        <f t="shared" si="36"/>
        <v>4.3139009816413589E-2</v>
      </c>
      <c r="AI176" s="7">
        <f t="shared" si="37"/>
        <v>466.21100884201473</v>
      </c>
    </row>
    <row r="177" spans="1:35" x14ac:dyDescent="0.25">
      <c r="A177">
        <v>196.79300000000001</v>
      </c>
      <c r="B177">
        <v>7.1719999999999997</v>
      </c>
      <c r="C177">
        <v>78.933000000000007</v>
      </c>
      <c r="D177">
        <v>521.274</v>
      </c>
      <c r="E177">
        <v>349.68400000000003</v>
      </c>
      <c r="F177">
        <v>2.5670000000000002</v>
      </c>
      <c r="G177">
        <v>80.456000000000003</v>
      </c>
      <c r="H177">
        <v>79.122</v>
      </c>
      <c r="I177">
        <v>5.5439999999999996</v>
      </c>
      <c r="J177">
        <v>7.343</v>
      </c>
      <c r="K177">
        <v>54355.199999999997</v>
      </c>
      <c r="L177">
        <v>20.510999999999999</v>
      </c>
      <c r="N177">
        <v>281.72360999999995</v>
      </c>
      <c r="O177">
        <v>353.84341499999994</v>
      </c>
      <c r="P177">
        <v>911.99875199999985</v>
      </c>
      <c r="Q177">
        <v>715.01343199999997</v>
      </c>
      <c r="R177">
        <f t="shared" si="27"/>
        <v>1.7343377299254246</v>
      </c>
      <c r="S177">
        <v>1.6747551447122264</v>
      </c>
      <c r="T177">
        <v>72.119804999999985</v>
      </c>
      <c r="U177">
        <v>196.98531999999989</v>
      </c>
      <c r="V177">
        <v>558.15533699999992</v>
      </c>
      <c r="W177">
        <v>0.2237110473065313</v>
      </c>
      <c r="X177">
        <f t="shared" si="28"/>
        <v>0.66552872805618291</v>
      </c>
      <c r="Y177">
        <f t="shared" si="29"/>
        <v>1.7870178244621815</v>
      </c>
      <c r="AA177" s="3">
        <f t="shared" si="30"/>
        <v>725.2893790080791</v>
      </c>
      <c r="AB177" s="6">
        <f t="shared" si="31"/>
        <v>711.84653603742777</v>
      </c>
      <c r="AC177" s="3">
        <f t="shared" si="32"/>
        <v>707.04552069076658</v>
      </c>
      <c r="AD177">
        <f t="shared" si="33"/>
        <v>452.07608070095239</v>
      </c>
      <c r="AE177">
        <f t="shared" si="34"/>
        <v>1.2609341877634561</v>
      </c>
      <c r="AF177">
        <f t="shared" si="35"/>
        <v>4.3139009816413589E-2</v>
      </c>
      <c r="AG177">
        <f t="shared" si="36"/>
        <v>4.3139009816413589E-2</v>
      </c>
      <c r="AI177" s="7">
        <f t="shared" si="37"/>
        <v>472.58708070095241</v>
      </c>
    </row>
    <row r="178" spans="1:35" x14ac:dyDescent="0.25">
      <c r="A178">
        <v>197.79400000000001</v>
      </c>
      <c r="B178">
        <v>7.3</v>
      </c>
      <c r="C178">
        <v>78.936999999999998</v>
      </c>
      <c r="D178">
        <v>520.46400000000006</v>
      </c>
      <c r="E178">
        <v>349.072</v>
      </c>
      <c r="F178">
        <v>2.5099999999999998</v>
      </c>
      <c r="G178">
        <v>80.894999999999996</v>
      </c>
      <c r="H178">
        <v>79.448999999999998</v>
      </c>
      <c r="I178">
        <v>5.3929999999999998</v>
      </c>
      <c r="J178">
        <v>7.2830000000000004</v>
      </c>
      <c r="K178">
        <v>54329.853999999999</v>
      </c>
      <c r="L178">
        <v>20.768999999999998</v>
      </c>
      <c r="N178">
        <v>281.85224999999997</v>
      </c>
      <c r="O178">
        <v>353.84743499999996</v>
      </c>
      <c r="P178">
        <v>911.06887199999994</v>
      </c>
      <c r="Q178">
        <v>714.31085599999994</v>
      </c>
      <c r="R178">
        <f t="shared" si="27"/>
        <v>1.7394113762852559</v>
      </c>
      <c r="S178">
        <v>1.6800804459423471</v>
      </c>
      <c r="T178">
        <v>71.995184999999992</v>
      </c>
      <c r="U178">
        <v>196.758016</v>
      </c>
      <c r="V178">
        <v>557.22143699999992</v>
      </c>
      <c r="W178">
        <v>0.22390170714124916</v>
      </c>
      <c r="X178">
        <f t="shared" si="28"/>
        <v>0.67081081006510423</v>
      </c>
      <c r="Y178">
        <f t="shared" si="29"/>
        <v>1.7765337476917245</v>
      </c>
      <c r="AA178" s="3">
        <f t="shared" si="30"/>
        <v>724.15163253282503</v>
      </c>
      <c r="AB178" s="6">
        <f t="shared" si="31"/>
        <v>710.64506108087437</v>
      </c>
      <c r="AC178" s="3">
        <f t="shared" si="32"/>
        <v>705.82128556232055</v>
      </c>
      <c r="AD178">
        <f t="shared" si="33"/>
        <v>450.57668408572545</v>
      </c>
      <c r="AE178">
        <f t="shared" si="34"/>
        <v>1.2609341877634561</v>
      </c>
      <c r="AF178">
        <f t="shared" si="35"/>
        <v>4.3139009816413589E-2</v>
      </c>
      <c r="AG178">
        <f t="shared" si="36"/>
        <v>4.3139009816413589E-2</v>
      </c>
      <c r="AI178" s="7">
        <f t="shared" si="37"/>
        <v>471.3456840857254</v>
      </c>
    </row>
    <row r="179" spans="1:35" x14ac:dyDescent="0.25">
      <c r="A179">
        <v>198.79400000000001</v>
      </c>
      <c r="B179">
        <v>7.2880000000000003</v>
      </c>
      <c r="C179">
        <v>78.906999999999996</v>
      </c>
      <c r="D179">
        <v>519.02499999999998</v>
      </c>
      <c r="E179">
        <v>348.76600000000002</v>
      </c>
      <c r="F179">
        <v>2.532</v>
      </c>
      <c r="G179">
        <v>80.606999999999999</v>
      </c>
      <c r="H179">
        <v>79.266000000000005</v>
      </c>
      <c r="I179">
        <v>5.3810000000000002</v>
      </c>
      <c r="J179">
        <v>8.1999999999999993</v>
      </c>
      <c r="K179">
        <v>54306.472999999998</v>
      </c>
      <c r="L179">
        <v>20.709</v>
      </c>
      <c r="N179">
        <v>281.84018999999995</v>
      </c>
      <c r="O179">
        <v>353.81728499999991</v>
      </c>
      <c r="P179">
        <v>909.41689999999983</v>
      </c>
      <c r="Q179">
        <v>713.95956799999988</v>
      </c>
      <c r="R179">
        <f t="shared" si="27"/>
        <v>1.7363343141693075</v>
      </c>
      <c r="S179">
        <v>1.6785848770676244</v>
      </c>
      <c r="T179">
        <v>71.977094999999963</v>
      </c>
      <c r="U179">
        <v>195.45733199999995</v>
      </c>
      <c r="V179">
        <v>555.59961499999986</v>
      </c>
      <c r="W179">
        <v>0.2222468008729632</v>
      </c>
      <c r="X179">
        <f t="shared" si="28"/>
        <v>0.668630975312557</v>
      </c>
      <c r="Y179">
        <f t="shared" si="29"/>
        <v>1.7708427813955183</v>
      </c>
      <c r="AA179" s="3">
        <f t="shared" si="30"/>
        <v>722.95006298814656</v>
      </c>
      <c r="AB179" s="6">
        <f t="shared" si="31"/>
        <v>709.48965856917505</v>
      </c>
      <c r="AC179" s="3">
        <f t="shared" si="32"/>
        <v>704.68237127668533</v>
      </c>
      <c r="AD179">
        <f t="shared" si="33"/>
        <v>448.4073149211842</v>
      </c>
      <c r="AE179">
        <f t="shared" si="34"/>
        <v>1.2609341877634561</v>
      </c>
      <c r="AF179">
        <f t="shared" si="35"/>
        <v>4.3139009816413589E-2</v>
      </c>
      <c r="AG179">
        <f t="shared" si="36"/>
        <v>4.3139009816413589E-2</v>
      </c>
      <c r="AI179" s="7">
        <f t="shared" si="37"/>
        <v>469.1163149211842</v>
      </c>
    </row>
    <row r="180" spans="1:35" x14ac:dyDescent="0.25">
      <c r="A180">
        <v>199.79499999999999</v>
      </c>
      <c r="B180">
        <v>7.133</v>
      </c>
      <c r="C180">
        <v>78.822000000000003</v>
      </c>
      <c r="D180">
        <v>520.15099999999995</v>
      </c>
      <c r="E180">
        <v>348.916</v>
      </c>
      <c r="F180">
        <v>2.54</v>
      </c>
      <c r="G180">
        <v>80.417000000000002</v>
      </c>
      <c r="H180">
        <v>78.944000000000003</v>
      </c>
      <c r="I180">
        <v>5.4530000000000003</v>
      </c>
      <c r="J180">
        <v>7.4950000000000001</v>
      </c>
      <c r="K180">
        <v>54292.57</v>
      </c>
      <c r="L180">
        <v>20.446000000000002</v>
      </c>
      <c r="N180">
        <v>281.68441499999994</v>
      </c>
      <c r="O180">
        <v>353.73185999999993</v>
      </c>
      <c r="P180">
        <v>910.70954799999981</v>
      </c>
      <c r="Q180">
        <v>714.13176799999997</v>
      </c>
      <c r="R180">
        <f t="shared" si="27"/>
        <v>1.7344115428140323</v>
      </c>
      <c r="S180">
        <v>1.6745202059603683</v>
      </c>
      <c r="T180">
        <v>72.047444999999982</v>
      </c>
      <c r="U180">
        <v>196.57777999999985</v>
      </c>
      <c r="V180">
        <v>556.97768799999994</v>
      </c>
      <c r="W180">
        <v>0.22358226852347429</v>
      </c>
      <c r="X180">
        <f t="shared" si="28"/>
        <v>0.66616009944077126</v>
      </c>
      <c r="Y180">
        <f t="shared" si="29"/>
        <v>1.7863005241100194</v>
      </c>
      <c r="AA180" s="3">
        <f t="shared" si="30"/>
        <v>724.28170658551369</v>
      </c>
      <c r="AB180" s="6">
        <f t="shared" si="31"/>
        <v>710.86128842158587</v>
      </c>
      <c r="AC180" s="3">
        <f t="shared" si="32"/>
        <v>706.0682819344687</v>
      </c>
      <c r="AD180">
        <f t="shared" si="33"/>
        <v>451.52406604295311</v>
      </c>
      <c r="AE180">
        <f t="shared" si="34"/>
        <v>1.2609341877634561</v>
      </c>
      <c r="AF180">
        <f t="shared" si="35"/>
        <v>4.3139009816413589E-2</v>
      </c>
      <c r="AG180">
        <f t="shared" si="36"/>
        <v>4.3139009816413589E-2</v>
      </c>
      <c r="AI180" s="7">
        <f t="shared" si="37"/>
        <v>471.97006604295314</v>
      </c>
    </row>
    <row r="181" spans="1:35" x14ac:dyDescent="0.25">
      <c r="A181">
        <v>200.79599999999999</v>
      </c>
      <c r="B181">
        <v>7.1920000000000002</v>
      </c>
      <c r="C181">
        <v>78.813000000000002</v>
      </c>
      <c r="D181">
        <v>521.20600000000002</v>
      </c>
      <c r="E181">
        <v>348.68099999999998</v>
      </c>
      <c r="F181">
        <v>2.5390000000000001</v>
      </c>
      <c r="G181">
        <v>80.584999999999994</v>
      </c>
      <c r="H181">
        <v>79.239000000000004</v>
      </c>
      <c r="I181">
        <v>5.3040000000000003</v>
      </c>
      <c r="J181">
        <v>7.76</v>
      </c>
      <c r="K181">
        <v>54272.375999999997</v>
      </c>
      <c r="L181">
        <v>20.193000000000001</v>
      </c>
      <c r="N181">
        <v>281.74370999999996</v>
      </c>
      <c r="O181">
        <v>353.72281499999991</v>
      </c>
      <c r="P181">
        <v>911.92068799999993</v>
      </c>
      <c r="Q181">
        <v>713.86198799999988</v>
      </c>
      <c r="R181">
        <f t="shared" si="27"/>
        <v>1.7360122219183505</v>
      </c>
      <c r="S181">
        <v>1.6795246498290504</v>
      </c>
      <c r="T181">
        <v>71.979104999999947</v>
      </c>
      <c r="U181">
        <v>198.05870000000004</v>
      </c>
      <c r="V181">
        <v>558.19787300000007</v>
      </c>
      <c r="W181">
        <v>0.22586899932526272</v>
      </c>
      <c r="X181">
        <f t="shared" si="28"/>
        <v>0.66814052649561317</v>
      </c>
      <c r="Y181">
        <f t="shared" si="29"/>
        <v>1.7876750236609531</v>
      </c>
      <c r="AA181" s="3">
        <f t="shared" si="30"/>
        <v>724.87021631118625</v>
      </c>
      <c r="AB181" s="6">
        <f t="shared" si="31"/>
        <v>711.35909170502805</v>
      </c>
      <c r="AC181" s="3">
        <f t="shared" si="32"/>
        <v>706.53369005997149</v>
      </c>
      <c r="AD181">
        <f t="shared" si="33"/>
        <v>453.38339025017734</v>
      </c>
      <c r="AE181">
        <f t="shared" si="34"/>
        <v>1.2609341877634561</v>
      </c>
      <c r="AF181">
        <f t="shared" si="35"/>
        <v>4.3139009816413589E-2</v>
      </c>
      <c r="AG181">
        <f t="shared" si="36"/>
        <v>4.3139009816413589E-2</v>
      </c>
      <c r="AI181" s="7">
        <f t="shared" si="37"/>
        <v>473.57639025017733</v>
      </c>
    </row>
    <row r="182" spans="1:35" x14ac:dyDescent="0.25">
      <c r="A182">
        <v>201.79599999999999</v>
      </c>
      <c r="B182">
        <v>7.1760000000000002</v>
      </c>
      <c r="C182">
        <v>78.801000000000002</v>
      </c>
      <c r="D182">
        <v>518.32799999999997</v>
      </c>
      <c r="E182">
        <v>348.36500000000001</v>
      </c>
      <c r="F182">
        <v>2.5609999999999999</v>
      </c>
      <c r="G182">
        <v>80.600999999999999</v>
      </c>
      <c r="H182">
        <v>79.254999999999995</v>
      </c>
      <c r="I182">
        <v>5.3769999999999998</v>
      </c>
      <c r="J182">
        <v>7.7220000000000004</v>
      </c>
      <c r="K182">
        <v>54262.178</v>
      </c>
      <c r="L182">
        <v>20.61</v>
      </c>
      <c r="N182">
        <v>281.72762999999992</v>
      </c>
      <c r="O182">
        <v>353.71075499999995</v>
      </c>
      <c r="P182">
        <v>908.61674399999993</v>
      </c>
      <c r="Q182">
        <v>713.49921999999992</v>
      </c>
      <c r="R182">
        <f t="shared" si="27"/>
        <v>1.7358029813032121</v>
      </c>
      <c r="S182">
        <v>1.6785455146633357</v>
      </c>
      <c r="T182">
        <v>71.98312500000003</v>
      </c>
      <c r="U182">
        <v>195.117524</v>
      </c>
      <c r="V182">
        <v>554.90598899999998</v>
      </c>
      <c r="W182">
        <v>0.22190136967507118</v>
      </c>
      <c r="X182">
        <f t="shared" si="28"/>
        <v>0.66790729002141502</v>
      </c>
      <c r="Y182">
        <f t="shared" si="29"/>
        <v>1.769395907777356</v>
      </c>
      <c r="AA182" s="3">
        <f t="shared" si="30"/>
        <v>722.31690413552462</v>
      </c>
      <c r="AB182" s="6">
        <f t="shared" si="31"/>
        <v>708.86891327298781</v>
      </c>
      <c r="AC182" s="3">
        <f t="shared" si="32"/>
        <v>704.06605939351039</v>
      </c>
      <c r="AD182">
        <f t="shared" si="33"/>
        <v>447.84437573199472</v>
      </c>
      <c r="AE182">
        <f t="shared" si="34"/>
        <v>1.2609341877634561</v>
      </c>
      <c r="AF182">
        <f t="shared" si="35"/>
        <v>4.3139009816413589E-2</v>
      </c>
      <c r="AG182">
        <f t="shared" si="36"/>
        <v>4.3139009816413589E-2</v>
      </c>
      <c r="AI182" s="7">
        <f t="shared" si="37"/>
        <v>468.45437573199473</v>
      </c>
    </row>
    <row r="183" spans="1:35" x14ac:dyDescent="0.25">
      <c r="A183">
        <v>202.79599999999999</v>
      </c>
      <c r="B183">
        <v>7.2290000000000001</v>
      </c>
      <c r="C183">
        <v>78.745999999999995</v>
      </c>
      <c r="D183">
        <v>519.18100000000004</v>
      </c>
      <c r="E183">
        <v>348.14499999999998</v>
      </c>
      <c r="F183">
        <v>2.5430000000000001</v>
      </c>
      <c r="G183">
        <v>81.003</v>
      </c>
      <c r="H183">
        <v>79.581000000000003</v>
      </c>
      <c r="I183">
        <v>5.2359999999999998</v>
      </c>
      <c r="J183">
        <v>7.8730000000000002</v>
      </c>
      <c r="K183">
        <v>54269.093000000001</v>
      </c>
      <c r="L183">
        <v>20.736000000000001</v>
      </c>
      <c r="N183">
        <v>281.78089499999993</v>
      </c>
      <c r="O183">
        <v>353.6554799999999</v>
      </c>
      <c r="P183">
        <v>909.59598799999992</v>
      </c>
      <c r="Q183">
        <v>713.24665999999991</v>
      </c>
      <c r="R183">
        <f t="shared" si="27"/>
        <v>1.7398885357826539</v>
      </c>
      <c r="S183">
        <v>1.683720203060624</v>
      </c>
      <c r="T183">
        <v>71.874584999999968</v>
      </c>
      <c r="U183">
        <v>196.34932800000001</v>
      </c>
      <c r="V183">
        <v>555.94050800000002</v>
      </c>
      <c r="W183">
        <v>0.22389939428554834</v>
      </c>
      <c r="X183">
        <f t="shared" si="28"/>
        <v>0.6721261611681898</v>
      </c>
      <c r="Y183">
        <f t="shared" si="29"/>
        <v>1.7688064259205025</v>
      </c>
      <c r="AA183" s="3">
        <f t="shared" si="30"/>
        <v>722.71008603485893</v>
      </c>
      <c r="AB183" s="6">
        <f t="shared" si="31"/>
        <v>709.17268609719258</v>
      </c>
      <c r="AC183" s="3">
        <f t="shared" si="32"/>
        <v>704.33790040516885</v>
      </c>
      <c r="AD183">
        <f t="shared" si="33"/>
        <v>449.18500339966187</v>
      </c>
      <c r="AE183">
        <f t="shared" si="34"/>
        <v>1.2609341877634561</v>
      </c>
      <c r="AF183">
        <f t="shared" si="35"/>
        <v>4.3139009816413589E-2</v>
      </c>
      <c r="AG183">
        <f t="shared" si="36"/>
        <v>4.3139009816413589E-2</v>
      </c>
      <c r="AI183" s="7">
        <f t="shared" si="37"/>
        <v>469.92100339966191</v>
      </c>
    </row>
    <row r="184" spans="1:35" x14ac:dyDescent="0.25">
      <c r="A184">
        <v>203.79599999999999</v>
      </c>
      <c r="B184">
        <v>7.2069999999999999</v>
      </c>
      <c r="C184">
        <v>78.756</v>
      </c>
      <c r="D184">
        <v>519.34500000000003</v>
      </c>
      <c r="E184">
        <v>347.99</v>
      </c>
      <c r="F184">
        <v>2.5529999999999999</v>
      </c>
      <c r="G184">
        <v>80.995999999999995</v>
      </c>
      <c r="H184">
        <v>79.478999999999999</v>
      </c>
      <c r="I184">
        <v>5.3890000000000002</v>
      </c>
      <c r="J184">
        <v>7.57</v>
      </c>
      <c r="K184">
        <v>54274.091</v>
      </c>
      <c r="L184">
        <v>20.390999999999998</v>
      </c>
      <c r="N184">
        <v>281.75878499999993</v>
      </c>
      <c r="O184">
        <v>353.66552999999993</v>
      </c>
      <c r="P184">
        <v>909.7842599999999</v>
      </c>
      <c r="Q184">
        <v>713.06871999999998</v>
      </c>
      <c r="R184">
        <f t="shared" si="27"/>
        <v>1.7396584726504671</v>
      </c>
      <c r="S184">
        <v>1.6804176730431908</v>
      </c>
      <c r="T184">
        <v>71.906745000000001</v>
      </c>
      <c r="U184">
        <v>196.71553999999992</v>
      </c>
      <c r="V184">
        <v>556.11872999999991</v>
      </c>
      <c r="W184">
        <v>0.2244283248650876</v>
      </c>
      <c r="X184">
        <f t="shared" si="28"/>
        <v>0.67159941768214682</v>
      </c>
      <c r="Y184">
        <f t="shared" si="29"/>
        <v>1.7780139950268201</v>
      </c>
      <c r="AA184" s="3">
        <f t="shared" si="30"/>
        <v>723.10544494301689</v>
      </c>
      <c r="AB184" s="6">
        <f t="shared" si="31"/>
        <v>709.61303145971465</v>
      </c>
      <c r="AC184" s="3">
        <f t="shared" si="32"/>
        <v>704.79431235853531</v>
      </c>
      <c r="AD184">
        <f t="shared" si="33"/>
        <v>450.70398293281687</v>
      </c>
      <c r="AE184">
        <f t="shared" si="34"/>
        <v>1.2609341877634561</v>
      </c>
      <c r="AF184">
        <f t="shared" si="35"/>
        <v>4.3139009816413589E-2</v>
      </c>
      <c r="AG184">
        <f t="shared" si="36"/>
        <v>4.3139009816413589E-2</v>
      </c>
      <c r="AI184" s="7">
        <f t="shared" si="37"/>
        <v>471.09498293281695</v>
      </c>
    </row>
    <row r="185" spans="1:35" x14ac:dyDescent="0.25">
      <c r="A185">
        <v>204.79599999999999</v>
      </c>
      <c r="B185">
        <v>7.2869999999999999</v>
      </c>
      <c r="C185">
        <v>78.691999999999993</v>
      </c>
      <c r="D185">
        <v>519.59199999999998</v>
      </c>
      <c r="E185">
        <v>348.57400000000001</v>
      </c>
      <c r="F185">
        <v>2.5760000000000001</v>
      </c>
      <c r="G185">
        <v>81.149000000000001</v>
      </c>
      <c r="H185">
        <v>79.763999999999996</v>
      </c>
      <c r="I185">
        <v>5.4320000000000004</v>
      </c>
      <c r="J185">
        <v>7.657</v>
      </c>
      <c r="K185">
        <v>54299.849000000002</v>
      </c>
      <c r="L185">
        <v>20.111000000000001</v>
      </c>
      <c r="N185">
        <v>281.83918499999993</v>
      </c>
      <c r="O185">
        <v>353.60120999999992</v>
      </c>
      <c r="P185">
        <v>910.06781599999988</v>
      </c>
      <c r="Q185">
        <v>713.73915199999988</v>
      </c>
      <c r="R185">
        <f t="shared" si="27"/>
        <v>1.740723632112825</v>
      </c>
      <c r="S185">
        <v>1.6823706532515699</v>
      </c>
      <c r="T185">
        <v>71.762024999999994</v>
      </c>
      <c r="U185">
        <v>196.328664</v>
      </c>
      <c r="V185">
        <v>556.46660599999996</v>
      </c>
      <c r="W185">
        <v>0.22385285596095594</v>
      </c>
      <c r="X185">
        <f t="shared" si="28"/>
        <v>0.67395047065007119</v>
      </c>
      <c r="Y185">
        <f t="shared" si="29"/>
        <v>1.7702546230138672</v>
      </c>
      <c r="AA185" s="3">
        <f t="shared" si="30"/>
        <v>723.18536198915524</v>
      </c>
      <c r="AB185" s="6">
        <f t="shared" si="31"/>
        <v>709.66046015371319</v>
      </c>
      <c r="AC185" s="3">
        <f t="shared" si="32"/>
        <v>704.83013806962674</v>
      </c>
      <c r="AD185">
        <f t="shared" si="33"/>
        <v>449.33518948878867</v>
      </c>
      <c r="AE185">
        <f t="shared" si="34"/>
        <v>1.2609341877634561</v>
      </c>
      <c r="AF185">
        <f t="shared" si="35"/>
        <v>4.3139009816413589E-2</v>
      </c>
      <c r="AG185">
        <f t="shared" si="36"/>
        <v>4.3139009816413589E-2</v>
      </c>
      <c r="AI185" s="7">
        <f t="shared" si="37"/>
        <v>469.44618948878872</v>
      </c>
    </row>
    <row r="186" spans="1:35" x14ac:dyDescent="0.25">
      <c r="A186">
        <v>205.79599999999999</v>
      </c>
      <c r="B186">
        <v>7.2249999999999996</v>
      </c>
      <c r="C186">
        <v>78.733000000000004</v>
      </c>
      <c r="D186">
        <v>520.17499999999995</v>
      </c>
      <c r="E186">
        <v>348.053</v>
      </c>
      <c r="F186">
        <v>2.5910000000000002</v>
      </c>
      <c r="G186">
        <v>81.239000000000004</v>
      </c>
      <c r="H186">
        <v>79.796000000000006</v>
      </c>
      <c r="I186">
        <v>5.4340000000000002</v>
      </c>
      <c r="J186">
        <v>7.306</v>
      </c>
      <c r="K186">
        <v>54335.11</v>
      </c>
      <c r="L186">
        <v>20.029</v>
      </c>
      <c r="N186">
        <v>281.77687499999996</v>
      </c>
      <c r="O186">
        <v>353.64241499999997</v>
      </c>
      <c r="P186">
        <v>910.73709999999983</v>
      </c>
      <c r="Q186">
        <v>713.14104399999997</v>
      </c>
      <c r="R186">
        <f t="shared" si="27"/>
        <v>1.7413258429084466</v>
      </c>
      <c r="S186">
        <v>1.6826335212146803</v>
      </c>
      <c r="T186">
        <v>71.86554000000001</v>
      </c>
      <c r="U186">
        <v>197.59605599999986</v>
      </c>
      <c r="V186">
        <v>557.0946849999998</v>
      </c>
      <c r="W186">
        <v>0.22568967068856507</v>
      </c>
      <c r="X186">
        <f t="shared" si="28"/>
        <v>0.6732849348562292</v>
      </c>
      <c r="Y186">
        <f t="shared" si="29"/>
        <v>1.7798725372363362</v>
      </c>
      <c r="AA186" s="3">
        <f t="shared" si="30"/>
        <v>723.69763208048221</v>
      </c>
      <c r="AB186" s="6">
        <f t="shared" si="31"/>
        <v>710.15897720724263</v>
      </c>
      <c r="AC186" s="3">
        <f t="shared" si="32"/>
        <v>705.32374332394272</v>
      </c>
      <c r="AD186">
        <f t="shared" si="33"/>
        <v>451.93243263548715</v>
      </c>
      <c r="AE186">
        <f t="shared" si="34"/>
        <v>1.2609341877634561</v>
      </c>
      <c r="AF186">
        <f t="shared" si="35"/>
        <v>4.3139009816413589E-2</v>
      </c>
      <c r="AG186">
        <f t="shared" si="36"/>
        <v>4.3139009816413589E-2</v>
      </c>
      <c r="AI186" s="7">
        <f t="shared" si="37"/>
        <v>471.9614326354872</v>
      </c>
    </row>
    <row r="187" spans="1:35" x14ac:dyDescent="0.25">
      <c r="A187">
        <v>206.79599999999999</v>
      </c>
      <c r="B187">
        <v>7.1550000000000002</v>
      </c>
      <c r="C187">
        <v>78.921999999999997</v>
      </c>
      <c r="D187">
        <v>519.43899999999996</v>
      </c>
      <c r="E187">
        <v>347.72800000000001</v>
      </c>
      <c r="F187">
        <v>2.5630000000000002</v>
      </c>
      <c r="G187">
        <v>81.388000000000005</v>
      </c>
      <c r="H187">
        <v>79.977999999999994</v>
      </c>
      <c r="I187">
        <v>5.3789999999999996</v>
      </c>
      <c r="J187">
        <v>8.8190000000000008</v>
      </c>
      <c r="K187">
        <v>54364.968999999997</v>
      </c>
      <c r="L187">
        <v>20.582999999999998</v>
      </c>
      <c r="N187">
        <v>281.70652499999994</v>
      </c>
      <c r="O187">
        <v>353.83235999999994</v>
      </c>
      <c r="P187">
        <v>909.89217199999985</v>
      </c>
      <c r="Q187">
        <v>712.76794399999983</v>
      </c>
      <c r="R187">
        <f t="shared" si="27"/>
        <v>1.7431903679888368</v>
      </c>
      <c r="S187">
        <v>1.6851550804103639</v>
      </c>
      <c r="T187">
        <v>72.125834999999995</v>
      </c>
      <c r="U187">
        <v>197.12422800000002</v>
      </c>
      <c r="V187">
        <v>556.05981199999997</v>
      </c>
      <c r="W187">
        <v>0.22479307136117946</v>
      </c>
      <c r="X187">
        <f t="shared" si="28"/>
        <v>0.67208715941049513</v>
      </c>
      <c r="Y187">
        <f t="shared" si="29"/>
        <v>1.7724958061663501</v>
      </c>
      <c r="AA187" s="3">
        <f t="shared" si="30"/>
        <v>722.83880957929716</v>
      </c>
      <c r="AB187" s="6">
        <f t="shared" si="31"/>
        <v>709.27627255304947</v>
      </c>
      <c r="AC187" s="3">
        <f t="shared" si="32"/>
        <v>704.43250932938952</v>
      </c>
      <c r="AD187">
        <f t="shared" si="33"/>
        <v>450.5135223073795</v>
      </c>
      <c r="AE187">
        <f t="shared" si="34"/>
        <v>1.2609341877634561</v>
      </c>
      <c r="AF187">
        <f t="shared" si="35"/>
        <v>4.3139009816413589E-2</v>
      </c>
      <c r="AG187">
        <f t="shared" si="36"/>
        <v>4.3139009816413589E-2</v>
      </c>
      <c r="AI187" s="7">
        <f t="shared" si="37"/>
        <v>471.09652230737947</v>
      </c>
    </row>
    <row r="188" spans="1:35" x14ac:dyDescent="0.25">
      <c r="A188">
        <v>207.79599999999999</v>
      </c>
      <c r="B188">
        <v>7.2249999999999996</v>
      </c>
      <c r="C188">
        <v>78.888000000000005</v>
      </c>
      <c r="D188">
        <v>518.46500000000003</v>
      </c>
      <c r="E188">
        <v>348.11900000000003</v>
      </c>
      <c r="F188">
        <v>2.5539999999999998</v>
      </c>
      <c r="G188">
        <v>81.158000000000001</v>
      </c>
      <c r="H188">
        <v>79.733000000000004</v>
      </c>
      <c r="I188">
        <v>5.4050000000000002</v>
      </c>
      <c r="J188">
        <v>7.8360000000000003</v>
      </c>
      <c r="K188">
        <v>54357.495999999999</v>
      </c>
      <c r="L188">
        <v>19.995999999999999</v>
      </c>
      <c r="N188">
        <v>281.77687499999996</v>
      </c>
      <c r="O188">
        <v>353.79818999999998</v>
      </c>
      <c r="P188">
        <v>908.77401999999995</v>
      </c>
      <c r="Q188">
        <v>713.216812</v>
      </c>
      <c r="R188">
        <f t="shared" si="27"/>
        <v>1.7411695928489261</v>
      </c>
      <c r="S188">
        <v>1.6825030990312657</v>
      </c>
      <c r="T188">
        <v>72.021315000000016</v>
      </c>
      <c r="U188">
        <v>195.55720799999995</v>
      </c>
      <c r="V188">
        <v>554.97582999999997</v>
      </c>
      <c r="W188">
        <v>0.22259688858882365</v>
      </c>
      <c r="X188">
        <f t="shared" si="28"/>
        <v>0.67171115475071397</v>
      </c>
      <c r="Y188">
        <f t="shared" si="29"/>
        <v>1.7655587284325645</v>
      </c>
      <c r="AA188" s="3">
        <f t="shared" si="30"/>
        <v>722.14740426112246</v>
      </c>
      <c r="AB188" s="6">
        <f t="shared" si="31"/>
        <v>708.63981620078516</v>
      </c>
      <c r="AC188" s="3">
        <f t="shared" si="32"/>
        <v>703.81567760780763</v>
      </c>
      <c r="AD188">
        <f t="shared" si="33"/>
        <v>447.88770244002313</v>
      </c>
      <c r="AE188">
        <f t="shared" si="34"/>
        <v>1.2609341877634561</v>
      </c>
      <c r="AF188">
        <f t="shared" si="35"/>
        <v>4.3139009816413589E-2</v>
      </c>
      <c r="AG188">
        <f t="shared" si="36"/>
        <v>4.3139009816413589E-2</v>
      </c>
      <c r="AI188" s="7">
        <f t="shared" si="37"/>
        <v>467.88370244002311</v>
      </c>
    </row>
    <row r="189" spans="1:35" x14ac:dyDescent="0.25">
      <c r="A189">
        <v>208.79599999999999</v>
      </c>
      <c r="B189">
        <v>7.2939999999999996</v>
      </c>
      <c r="C189">
        <v>78.918999999999997</v>
      </c>
      <c r="D189">
        <v>520.11599999999999</v>
      </c>
      <c r="E189">
        <v>348.73</v>
      </c>
      <c r="F189">
        <v>2.5659999999999998</v>
      </c>
      <c r="G189">
        <v>81.563000000000002</v>
      </c>
      <c r="H189">
        <v>80.254000000000005</v>
      </c>
      <c r="I189">
        <v>5.3819999999999997</v>
      </c>
      <c r="J189">
        <v>7.8360000000000003</v>
      </c>
      <c r="K189">
        <v>54372.256000000001</v>
      </c>
      <c r="L189">
        <v>20.215</v>
      </c>
      <c r="N189">
        <v>281.8462199999999</v>
      </c>
      <c r="O189">
        <v>353.82934499999993</v>
      </c>
      <c r="P189">
        <v>910.66936799999985</v>
      </c>
      <c r="Q189">
        <v>713.91823999999997</v>
      </c>
      <c r="R189">
        <f t="shared" si="27"/>
        <v>1.744790979201629</v>
      </c>
      <c r="S189">
        <v>1.6876435039767823</v>
      </c>
      <c r="T189">
        <v>71.98312500000003</v>
      </c>
      <c r="U189">
        <v>196.75112799999988</v>
      </c>
      <c r="V189">
        <v>556.84002299999997</v>
      </c>
      <c r="W189">
        <v>0.22406435932497593</v>
      </c>
      <c r="X189">
        <f t="shared" si="28"/>
        <v>0.67495710560086297</v>
      </c>
      <c r="Y189">
        <f t="shared" si="29"/>
        <v>1.7629649746393656</v>
      </c>
      <c r="AA189" s="3">
        <f t="shared" si="30"/>
        <v>723.27146138175976</v>
      </c>
      <c r="AB189" s="6">
        <f t="shared" si="31"/>
        <v>709.66141220599081</v>
      </c>
      <c r="AC189" s="3">
        <f t="shared" si="32"/>
        <v>704.80068035750196</v>
      </c>
      <c r="AD189">
        <f t="shared" si="33"/>
        <v>448.93888495535219</v>
      </c>
      <c r="AE189">
        <f t="shared" si="34"/>
        <v>1.2609341877634561</v>
      </c>
      <c r="AF189">
        <f t="shared" si="35"/>
        <v>4.3139009816413589E-2</v>
      </c>
      <c r="AG189">
        <f t="shared" si="36"/>
        <v>4.3139009816413589E-2</v>
      </c>
      <c r="AI189" s="7">
        <f t="shared" si="37"/>
        <v>469.15388495535223</v>
      </c>
    </row>
    <row r="190" spans="1:35" x14ac:dyDescent="0.25">
      <c r="A190">
        <v>209.797</v>
      </c>
      <c r="B190">
        <v>7.3319999999999999</v>
      </c>
      <c r="C190">
        <v>78.927000000000007</v>
      </c>
      <c r="D190">
        <v>519.48</v>
      </c>
      <c r="E190">
        <v>348.827</v>
      </c>
      <c r="F190">
        <v>2.56</v>
      </c>
      <c r="G190">
        <v>81.281000000000006</v>
      </c>
      <c r="H190">
        <v>79.989000000000004</v>
      </c>
      <c r="I190">
        <v>5.43</v>
      </c>
      <c r="J190">
        <v>8.3279999999999994</v>
      </c>
      <c r="K190">
        <v>54387.444000000003</v>
      </c>
      <c r="L190">
        <v>20.61</v>
      </c>
      <c r="N190">
        <v>281.88440999999995</v>
      </c>
      <c r="O190">
        <v>353.83738499999998</v>
      </c>
      <c r="P190">
        <v>909.93923999999993</v>
      </c>
      <c r="Q190">
        <v>714.02959599999997</v>
      </c>
      <c r="R190">
        <f t="shared" si="27"/>
        <v>1.7422308127475015</v>
      </c>
      <c r="S190">
        <v>1.6844670889562103</v>
      </c>
      <c r="T190">
        <v>71.952975000000038</v>
      </c>
      <c r="U190">
        <v>195.90964399999996</v>
      </c>
      <c r="V190">
        <v>556.10185499999989</v>
      </c>
      <c r="W190">
        <v>0.2229028151686348</v>
      </c>
      <c r="X190">
        <f t="shared" si="28"/>
        <v>0.67340489082298105</v>
      </c>
      <c r="Y190">
        <f t="shared" si="29"/>
        <v>1.7627748904172607</v>
      </c>
      <c r="AA190" s="3">
        <f t="shared" si="30"/>
        <v>722.92730530656934</v>
      </c>
      <c r="AB190" s="6">
        <f t="shared" si="31"/>
        <v>709.37400356062449</v>
      </c>
      <c r="AC190" s="3">
        <f t="shared" si="32"/>
        <v>704.53353865135841</v>
      </c>
      <c r="AD190">
        <f t="shared" si="33"/>
        <v>447.95481934587315</v>
      </c>
      <c r="AE190">
        <f t="shared" si="34"/>
        <v>1.2609341877634561</v>
      </c>
      <c r="AF190">
        <f t="shared" si="35"/>
        <v>4.3139009816413589E-2</v>
      </c>
      <c r="AG190">
        <f t="shared" si="36"/>
        <v>4.3139009816413589E-2</v>
      </c>
      <c r="AI190" s="7">
        <f t="shared" si="37"/>
        <v>468.5648193458731</v>
      </c>
    </row>
    <row r="191" spans="1:35" x14ac:dyDescent="0.25">
      <c r="A191">
        <v>210.797</v>
      </c>
      <c r="B191">
        <v>7.3849999999999998</v>
      </c>
      <c r="C191">
        <v>78.992000000000004</v>
      </c>
      <c r="D191">
        <v>519.50699999999995</v>
      </c>
      <c r="E191">
        <v>348.71199999999999</v>
      </c>
      <c r="F191">
        <v>2.5619999999999998</v>
      </c>
      <c r="G191">
        <v>81.197999999999993</v>
      </c>
      <c r="H191">
        <v>79.744</v>
      </c>
      <c r="I191">
        <v>5.3929999999999998</v>
      </c>
      <c r="J191">
        <v>7.609</v>
      </c>
      <c r="K191">
        <v>54383.32</v>
      </c>
      <c r="L191">
        <v>20.911999999999999</v>
      </c>
      <c r="N191">
        <v>281.93767499999996</v>
      </c>
      <c r="O191">
        <v>353.90270999999996</v>
      </c>
      <c r="P191">
        <v>909.97023599999989</v>
      </c>
      <c r="Q191">
        <v>713.89757599999996</v>
      </c>
      <c r="R191">
        <f t="shared" si="27"/>
        <v>1.7414153985404761</v>
      </c>
      <c r="S191">
        <v>1.682789527334172</v>
      </c>
      <c r="T191">
        <v>71.965035</v>
      </c>
      <c r="U191">
        <v>196.07265999999993</v>
      </c>
      <c r="V191">
        <v>556.06752599999993</v>
      </c>
      <c r="W191">
        <v>0.22318804676970103</v>
      </c>
      <c r="X191">
        <f t="shared" si="28"/>
        <v>0.6728052271094358</v>
      </c>
      <c r="Y191">
        <f t="shared" si="29"/>
        <v>1.7673438874727008</v>
      </c>
      <c r="AA191" s="3">
        <f t="shared" si="30"/>
        <v>723.07665354244079</v>
      </c>
      <c r="AB191" s="6">
        <f t="shared" si="31"/>
        <v>709.54714173124876</v>
      </c>
      <c r="AC191" s="3">
        <f t="shared" si="32"/>
        <v>704.71517322725151</v>
      </c>
      <c r="AD191">
        <f t="shared" si="33"/>
        <v>448.69264025048062</v>
      </c>
      <c r="AE191">
        <f t="shared" si="34"/>
        <v>1.2609341877634561</v>
      </c>
      <c r="AF191">
        <f t="shared" si="35"/>
        <v>4.3139009816413589E-2</v>
      </c>
      <c r="AG191">
        <f t="shared" si="36"/>
        <v>4.3139009816413589E-2</v>
      </c>
      <c r="AI191" s="7">
        <f t="shared" si="37"/>
        <v>469.60464025048066</v>
      </c>
    </row>
    <row r="192" spans="1:35" x14ac:dyDescent="0.25">
      <c r="A192">
        <v>211.798</v>
      </c>
      <c r="B192">
        <v>7.5739999999999998</v>
      </c>
      <c r="C192">
        <v>79.006</v>
      </c>
      <c r="D192">
        <v>520.75900000000001</v>
      </c>
      <c r="E192">
        <v>348.83</v>
      </c>
      <c r="F192">
        <v>2.548</v>
      </c>
      <c r="G192">
        <v>81.022999999999996</v>
      </c>
      <c r="H192">
        <v>79.686000000000007</v>
      </c>
      <c r="I192">
        <v>5.4020000000000001</v>
      </c>
      <c r="J192">
        <v>7.6680000000000001</v>
      </c>
      <c r="K192">
        <v>54369.66</v>
      </c>
      <c r="L192">
        <v>21.196999999999999</v>
      </c>
      <c r="N192">
        <v>282.12761999999998</v>
      </c>
      <c r="O192">
        <v>353.9167799999999</v>
      </c>
      <c r="P192">
        <v>911.40753199999995</v>
      </c>
      <c r="Q192">
        <v>714.03303999999991</v>
      </c>
      <c r="R192">
        <f t="shared" si="27"/>
        <v>1.7399950965600481</v>
      </c>
      <c r="S192">
        <v>1.6821178674404511</v>
      </c>
      <c r="T192">
        <v>71.789159999999924</v>
      </c>
      <c r="U192">
        <v>197.37449200000003</v>
      </c>
      <c r="V192">
        <v>557.49075200000004</v>
      </c>
      <c r="W192">
        <v>0.22526890634411834</v>
      </c>
      <c r="X192">
        <f t="shared" si="28"/>
        <v>0.67383453045229935</v>
      </c>
      <c r="Y192">
        <f t="shared" si="29"/>
        <v>1.777549437360515</v>
      </c>
      <c r="AA192" s="3">
        <f t="shared" si="30"/>
        <v>724.26881031064079</v>
      </c>
      <c r="AB192" s="6">
        <f t="shared" si="31"/>
        <v>710.72766231548758</v>
      </c>
      <c r="AC192" s="3">
        <f t="shared" si="32"/>
        <v>705.8915380315043</v>
      </c>
      <c r="AD192">
        <f t="shared" si="33"/>
        <v>451.40296042046452</v>
      </c>
      <c r="AE192">
        <f t="shared" si="34"/>
        <v>1.2609341877634561</v>
      </c>
      <c r="AF192">
        <f t="shared" si="35"/>
        <v>4.3139009816413589E-2</v>
      </c>
      <c r="AG192">
        <f t="shared" si="36"/>
        <v>4.3139009816413589E-2</v>
      </c>
      <c r="AI192" s="7">
        <f t="shared" si="37"/>
        <v>472.59996042046453</v>
      </c>
    </row>
    <row r="193" spans="1:35" x14ac:dyDescent="0.25">
      <c r="A193">
        <v>212.79900000000001</v>
      </c>
      <c r="B193">
        <v>7.7469999999999999</v>
      </c>
      <c r="C193">
        <v>79.072000000000003</v>
      </c>
      <c r="D193">
        <v>523.04999999999995</v>
      </c>
      <c r="E193">
        <v>348.43299999999999</v>
      </c>
      <c r="F193">
        <v>2.528</v>
      </c>
      <c r="G193">
        <v>80.692999999999998</v>
      </c>
      <c r="H193">
        <v>79.328000000000003</v>
      </c>
      <c r="I193">
        <v>5.3330000000000002</v>
      </c>
      <c r="J193">
        <v>7.5369999999999999</v>
      </c>
      <c r="K193">
        <v>54373.978999999999</v>
      </c>
      <c r="L193">
        <v>20.78</v>
      </c>
      <c r="N193">
        <v>282.30148499999996</v>
      </c>
      <c r="O193">
        <v>353.98310999999995</v>
      </c>
      <c r="P193">
        <v>914.03759999999988</v>
      </c>
      <c r="Q193">
        <v>713.57728399999996</v>
      </c>
      <c r="R193">
        <f t="shared" si="27"/>
        <v>1.7372109254159276</v>
      </c>
      <c r="S193">
        <v>1.6798948848235371</v>
      </c>
      <c r="T193">
        <v>71.681624999999997</v>
      </c>
      <c r="U193">
        <v>200.46031599999992</v>
      </c>
      <c r="V193">
        <v>560.05448999999999</v>
      </c>
      <c r="W193">
        <v>0.22993957427249612</v>
      </c>
      <c r="X193">
        <f t="shared" si="28"/>
        <v>0.67315089883504386</v>
      </c>
      <c r="Y193">
        <f t="shared" si="29"/>
        <v>1.8044430823349322</v>
      </c>
      <c r="AA193" s="3">
        <f t="shared" si="30"/>
        <v>726.52518385821622</v>
      </c>
      <c r="AB193" s="6">
        <f t="shared" si="31"/>
        <v>712.97730294175824</v>
      </c>
      <c r="AC193" s="3">
        <f t="shared" si="32"/>
        <v>708.1387740430232</v>
      </c>
      <c r="AD193">
        <f t="shared" si="33"/>
        <v>458.08440221674977</v>
      </c>
      <c r="AE193">
        <f t="shared" si="34"/>
        <v>1.2609341877634561</v>
      </c>
      <c r="AF193">
        <f t="shared" si="35"/>
        <v>4.3139009816413589E-2</v>
      </c>
      <c r="AG193">
        <f t="shared" si="36"/>
        <v>4.3139009816413589E-2</v>
      </c>
      <c r="AI193" s="7">
        <f t="shared" si="37"/>
        <v>478.8644022167498</v>
      </c>
    </row>
    <row r="194" spans="1:35" x14ac:dyDescent="0.25">
      <c r="A194">
        <v>213.79900000000001</v>
      </c>
      <c r="B194">
        <v>7.9580000000000002</v>
      </c>
      <c r="C194">
        <v>79.188999999999993</v>
      </c>
      <c r="D194">
        <v>525.69899999999996</v>
      </c>
      <c r="E194">
        <v>349.13600000000002</v>
      </c>
      <c r="F194">
        <v>2.5270000000000001</v>
      </c>
      <c r="G194">
        <v>80.736999999999995</v>
      </c>
      <c r="H194">
        <v>79.27</v>
      </c>
      <c r="I194">
        <v>5.3710000000000004</v>
      </c>
      <c r="J194">
        <v>7.2679999999999998</v>
      </c>
      <c r="K194">
        <v>54341.281000000003</v>
      </c>
      <c r="L194">
        <v>20.670999999999999</v>
      </c>
      <c r="N194">
        <v>282.51353999999998</v>
      </c>
      <c r="O194">
        <v>354.10069499999992</v>
      </c>
      <c r="P194">
        <v>917.07865199999981</v>
      </c>
      <c r="Q194">
        <v>714.38432799999998</v>
      </c>
      <c r="R194">
        <f t="shared" si="27"/>
        <v>1.7376422986597753</v>
      </c>
      <c r="S194">
        <v>1.6787757988812446</v>
      </c>
      <c r="T194">
        <v>71.587154999999939</v>
      </c>
      <c r="U194">
        <v>202.69432399999982</v>
      </c>
      <c r="V194">
        <v>562.97795699999983</v>
      </c>
      <c r="W194">
        <v>0.2328815318074699</v>
      </c>
      <c r="X194">
        <f t="shared" si="28"/>
        <v>0.67487335125433712</v>
      </c>
      <c r="Y194">
        <f t="shared" si="29"/>
        <v>1.8206931007136928</v>
      </c>
      <c r="AA194" s="3">
        <f t="shared" si="30"/>
        <v>729.02649122563912</v>
      </c>
      <c r="AB194" s="6">
        <f t="shared" si="31"/>
        <v>715.44989229729117</v>
      </c>
      <c r="AC194" s="3">
        <f t="shared" si="32"/>
        <v>710.60110696573838</v>
      </c>
      <c r="AD194">
        <f t="shared" si="33"/>
        <v>462.49788833526623</v>
      </c>
      <c r="AE194">
        <f t="shared" si="34"/>
        <v>1.2609341877634561</v>
      </c>
      <c r="AF194">
        <f t="shared" si="35"/>
        <v>4.3139009816413589E-2</v>
      </c>
      <c r="AG194">
        <f t="shared" si="36"/>
        <v>4.3139009816413589E-2</v>
      </c>
      <c r="AI194" s="7">
        <f t="shared" si="37"/>
        <v>483.16888833526622</v>
      </c>
    </row>
    <row r="195" spans="1:35" x14ac:dyDescent="0.25">
      <c r="A195">
        <v>214.79900000000001</v>
      </c>
      <c r="B195">
        <v>7.9169999999999998</v>
      </c>
      <c r="C195">
        <v>79.161000000000001</v>
      </c>
      <c r="D195">
        <v>525.58199999999999</v>
      </c>
      <c r="E195">
        <v>349.08600000000001</v>
      </c>
      <c r="F195">
        <v>2.5630000000000002</v>
      </c>
      <c r="G195">
        <v>80.656000000000006</v>
      </c>
      <c r="H195">
        <v>79.165000000000006</v>
      </c>
      <c r="I195">
        <v>5.3579999999999997</v>
      </c>
      <c r="J195">
        <v>8.0250000000000004</v>
      </c>
      <c r="K195">
        <v>54318.305</v>
      </c>
      <c r="L195">
        <v>19.968</v>
      </c>
      <c r="N195">
        <v>282.47233499999993</v>
      </c>
      <c r="O195">
        <v>354.07255499999997</v>
      </c>
      <c r="P195">
        <v>916.94433599999991</v>
      </c>
      <c r="Q195">
        <v>714.32692799999995</v>
      </c>
      <c r="R195">
        <f t="shared" si="27"/>
        <v>1.7362888094811575</v>
      </c>
      <c r="S195">
        <v>1.6780117216924801</v>
      </c>
      <c r="T195">
        <v>71.600220000000036</v>
      </c>
      <c r="U195">
        <v>202.61740799999995</v>
      </c>
      <c r="V195">
        <v>562.87178099999994</v>
      </c>
      <c r="W195">
        <v>0.23276560030640431</v>
      </c>
      <c r="X195">
        <f t="shared" si="28"/>
        <v>0.67362337667571048</v>
      </c>
      <c r="Y195">
        <f t="shared" si="29"/>
        <v>1.8217683889256882</v>
      </c>
      <c r="AA195" s="3">
        <f t="shared" si="30"/>
        <v>728.97718332160844</v>
      </c>
      <c r="AB195" s="6">
        <f t="shared" si="31"/>
        <v>715.41374674525457</v>
      </c>
      <c r="AC195" s="3">
        <f t="shared" si="32"/>
        <v>710.56966225369956</v>
      </c>
      <c r="AD195">
        <f t="shared" si="33"/>
        <v>462.5322762003799</v>
      </c>
      <c r="AE195">
        <f t="shared" si="34"/>
        <v>1.2609341877634561</v>
      </c>
      <c r="AF195">
        <f t="shared" si="35"/>
        <v>4.3139009816413589E-2</v>
      </c>
      <c r="AG195">
        <f t="shared" si="36"/>
        <v>4.3139009816413589E-2</v>
      </c>
      <c r="AI195" s="7">
        <f t="shared" si="37"/>
        <v>482.50027620037991</v>
      </c>
    </row>
    <row r="196" spans="1:35" x14ac:dyDescent="0.25">
      <c r="A196">
        <v>215.79900000000001</v>
      </c>
      <c r="B196">
        <v>7.9429999999999996</v>
      </c>
      <c r="C196">
        <v>79.076999999999998</v>
      </c>
      <c r="D196">
        <v>523.096</v>
      </c>
      <c r="E196">
        <v>348.99700000000001</v>
      </c>
      <c r="F196">
        <v>2.5489999999999999</v>
      </c>
      <c r="G196">
        <v>80.966999999999999</v>
      </c>
      <c r="H196">
        <v>79.552000000000007</v>
      </c>
      <c r="I196">
        <v>5.4119999999999999</v>
      </c>
      <c r="J196">
        <v>8.2520000000000007</v>
      </c>
      <c r="K196">
        <v>54285.315999999999</v>
      </c>
      <c r="L196">
        <v>20.863</v>
      </c>
      <c r="N196">
        <v>282.49846499999995</v>
      </c>
      <c r="O196">
        <v>353.98813499999994</v>
      </c>
      <c r="P196">
        <v>914.09040799999991</v>
      </c>
      <c r="Q196">
        <v>714.22475599999984</v>
      </c>
      <c r="R196">
        <f t="shared" si="27"/>
        <v>1.7394506313119404</v>
      </c>
      <c r="S196">
        <v>1.6807330688996622</v>
      </c>
      <c r="T196">
        <v>71.48966999999999</v>
      </c>
      <c r="U196">
        <v>199.86565200000007</v>
      </c>
      <c r="V196">
        <v>560.10227299999997</v>
      </c>
      <c r="W196">
        <v>0.229200965945732</v>
      </c>
      <c r="X196">
        <f t="shared" si="28"/>
        <v>0.6771329399947088</v>
      </c>
      <c r="Y196">
        <f t="shared" si="29"/>
        <v>1.797367553838217</v>
      </c>
      <c r="AA196" s="3">
        <f t="shared" si="30"/>
        <v>726.50440500329682</v>
      </c>
      <c r="AB196" s="6">
        <f t="shared" si="31"/>
        <v>712.94353930949342</v>
      </c>
      <c r="AC196" s="3">
        <f t="shared" si="32"/>
        <v>708.10037299027795</v>
      </c>
      <c r="AD196">
        <f t="shared" si="33"/>
        <v>456.58389618403874</v>
      </c>
      <c r="AE196">
        <f t="shared" si="34"/>
        <v>1.2609341877634561</v>
      </c>
      <c r="AF196">
        <f t="shared" si="35"/>
        <v>4.3139009816413589E-2</v>
      </c>
      <c r="AG196">
        <f t="shared" si="36"/>
        <v>4.3139009816413589E-2</v>
      </c>
      <c r="AI196" s="7">
        <f t="shared" si="37"/>
        <v>477.44689618403874</v>
      </c>
    </row>
    <row r="197" spans="1:35" x14ac:dyDescent="0.25">
      <c r="A197">
        <v>216.8</v>
      </c>
      <c r="B197">
        <v>8.0009999999999994</v>
      </c>
      <c r="C197">
        <v>78.992000000000004</v>
      </c>
      <c r="D197">
        <v>523.81799999999998</v>
      </c>
      <c r="E197">
        <v>348.226</v>
      </c>
      <c r="F197">
        <v>2.5750000000000002</v>
      </c>
      <c r="G197">
        <v>81.488</v>
      </c>
      <c r="H197">
        <v>80.046000000000006</v>
      </c>
      <c r="I197">
        <v>5.3940000000000001</v>
      </c>
      <c r="J197">
        <v>7.0030000000000001</v>
      </c>
      <c r="K197">
        <v>54310.29</v>
      </c>
      <c r="L197">
        <v>20.588000000000001</v>
      </c>
      <c r="N197">
        <v>282.5567549999999</v>
      </c>
      <c r="O197">
        <v>353.90270999999996</v>
      </c>
      <c r="P197">
        <v>914.91926399999988</v>
      </c>
      <c r="Q197">
        <v>713.3396479999999</v>
      </c>
      <c r="R197">
        <f t="shared" ref="R197:R260" si="38">(G197+103.5)/(F197+103.5)</f>
        <v>1.7439358944143295</v>
      </c>
      <c r="S197">
        <v>1.6855474130806103</v>
      </c>
      <c r="T197">
        <v>71.34595500000006</v>
      </c>
      <c r="U197">
        <v>201.57961599999999</v>
      </c>
      <c r="V197">
        <v>561.01655399999993</v>
      </c>
      <c r="W197">
        <v>0.23213871332573896</v>
      </c>
      <c r="X197">
        <f t="shared" ref="X197:X260" si="39">((B197+273.15)/(C197-B197)*((R197^(0.4/1.4)-1)))</f>
        <v>0.68205146723657495</v>
      </c>
      <c r="Y197">
        <f t="shared" ref="Y197:Y260" si="40">(D197-E197)/((D197+273.15)*(1-(1/S197^(0.333/1.333))))</f>
        <v>1.801845909278551</v>
      </c>
      <c r="AA197" s="3">
        <f t="shared" ref="AA197:AA260" si="41">(D197+273.15)-((0.72*(D197+273.15))*(1-(1/S197^(0.333/1.333))))</f>
        <v>726.80315441083394</v>
      </c>
      <c r="AB197" s="6">
        <f t="shared" ref="AB197:AB260" si="42">(D197+273.15)-((0.86*(D197+273.15))*(1-(1/S197^(0.333/1.333))))</f>
        <v>713.15998999071837</v>
      </c>
      <c r="AC197" s="3">
        <f t="shared" ref="AC197:AC260" si="43">(D197+273.15)-((0.91*(D197+273.15))*(1-(1/S197^(0.333/1.333))))</f>
        <v>708.28743126924849</v>
      </c>
      <c r="AD197">
        <f t="shared" ref="AD197:AD260" si="44">SQRT(2*(1148)*(AB197-(E197+273.15)))</f>
        <v>459.05995362119035</v>
      </c>
      <c r="AE197">
        <f t="shared" ref="AE197:AE260" si="45">103500/(287*(12.85+273.15))</f>
        <v>1.2609341877634561</v>
      </c>
      <c r="AF197">
        <f t="shared" ref="AF197:AF260" si="46">(103500/(287*(12.85+273.15))*(PI()*(0.033^2)*10))</f>
        <v>4.3139009816413589E-2</v>
      </c>
      <c r="AG197">
        <f t="shared" ref="AG197:AG260" si="47">(AF197+(M197*770))</f>
        <v>4.3139009816413589E-2</v>
      </c>
      <c r="AI197" s="7">
        <f t="shared" ref="AI197:AI259" si="48">((L197)+(AF197*AD197)/AG197)</f>
        <v>479.64795362119037</v>
      </c>
    </row>
    <row r="198" spans="1:35" x14ac:dyDescent="0.25">
      <c r="A198">
        <v>217.8</v>
      </c>
      <c r="B198">
        <v>8.0470000000000006</v>
      </c>
      <c r="C198">
        <v>79.015000000000001</v>
      </c>
      <c r="D198">
        <v>524.78099999999995</v>
      </c>
      <c r="E198">
        <v>349.19900000000001</v>
      </c>
      <c r="F198">
        <v>2.5670000000000002</v>
      </c>
      <c r="G198">
        <v>81.256</v>
      </c>
      <c r="H198">
        <v>79.878</v>
      </c>
      <c r="I198">
        <v>5.3049999999999997</v>
      </c>
      <c r="J198">
        <v>7.9870000000000001</v>
      </c>
      <c r="K198">
        <v>54365.794000000002</v>
      </c>
      <c r="L198">
        <v>21.4</v>
      </c>
      <c r="N198">
        <v>282.60298499999999</v>
      </c>
      <c r="O198">
        <v>353.92582499999992</v>
      </c>
      <c r="P198">
        <v>916.02478799999983</v>
      </c>
      <c r="Q198">
        <v>714.45665199999985</v>
      </c>
      <c r="R198">
        <f t="shared" si="38"/>
        <v>1.7418801323691628</v>
      </c>
      <c r="S198">
        <v>1.6853821056017644</v>
      </c>
      <c r="T198">
        <v>71.322839999999928</v>
      </c>
      <c r="U198">
        <v>201.56813599999998</v>
      </c>
      <c r="V198">
        <v>562.09896299999991</v>
      </c>
      <c r="W198">
        <v>0.23171239332103175</v>
      </c>
      <c r="X198">
        <f t="shared" si="39"/>
        <v>0.68081914294647716</v>
      </c>
      <c r="Y198">
        <f t="shared" si="40"/>
        <v>1.7998853758332245</v>
      </c>
      <c r="AA198" s="3">
        <f t="shared" si="41"/>
        <v>727.6937272839657</v>
      </c>
      <c r="AB198" s="6">
        <f t="shared" si="42"/>
        <v>714.03647981140352</v>
      </c>
      <c r="AC198" s="3">
        <f t="shared" si="43"/>
        <v>709.15889142834556</v>
      </c>
      <c r="AD198">
        <f t="shared" si="44"/>
        <v>458.81854108893924</v>
      </c>
      <c r="AE198">
        <f t="shared" si="45"/>
        <v>1.2609341877634561</v>
      </c>
      <c r="AF198">
        <f t="shared" si="46"/>
        <v>4.3139009816413589E-2</v>
      </c>
      <c r="AG198">
        <f t="shared" si="47"/>
        <v>4.3139009816413589E-2</v>
      </c>
      <c r="AI198" s="7">
        <f t="shared" si="48"/>
        <v>480.21854108893922</v>
      </c>
    </row>
    <row r="199" spans="1:35" x14ac:dyDescent="0.25">
      <c r="A199">
        <v>218.8</v>
      </c>
      <c r="B199">
        <v>8.01</v>
      </c>
      <c r="C199">
        <v>79.072999999999993</v>
      </c>
      <c r="D199">
        <v>525.971</v>
      </c>
      <c r="E199">
        <v>348.84300000000002</v>
      </c>
      <c r="F199">
        <v>2.556</v>
      </c>
      <c r="G199">
        <v>81.055000000000007</v>
      </c>
      <c r="H199">
        <v>79.747</v>
      </c>
      <c r="I199">
        <v>5.3410000000000002</v>
      </c>
      <c r="J199">
        <v>7.7240000000000002</v>
      </c>
      <c r="K199">
        <v>54378.419000000002</v>
      </c>
      <c r="L199">
        <v>21.63</v>
      </c>
      <c r="N199">
        <v>282.56579999999991</v>
      </c>
      <c r="O199">
        <v>353.98411499999992</v>
      </c>
      <c r="P199">
        <v>917.39090799999985</v>
      </c>
      <c r="Q199">
        <v>714.04796399999987</v>
      </c>
      <c r="R199">
        <f t="shared" si="38"/>
        <v>1.7401655729048806</v>
      </c>
      <c r="S199">
        <v>1.6836210619160061</v>
      </c>
      <c r="T199">
        <v>71.418315000000007</v>
      </c>
      <c r="U199">
        <v>203.34294399999999</v>
      </c>
      <c r="V199">
        <v>563.40679299999988</v>
      </c>
      <c r="W199">
        <v>0.23415519769922263</v>
      </c>
      <c r="X199">
        <f t="shared" si="39"/>
        <v>0.67851519112805037</v>
      </c>
      <c r="Y199">
        <f t="shared" si="40"/>
        <v>1.8164358351623138</v>
      </c>
      <c r="AA199" s="3">
        <f t="shared" si="41"/>
        <v>728.91088988696981</v>
      </c>
      <c r="AB199" s="6">
        <f t="shared" si="42"/>
        <v>715.25892403165835</v>
      </c>
      <c r="AC199" s="3">
        <f t="shared" si="43"/>
        <v>710.38322194047578</v>
      </c>
      <c r="AD199">
        <f t="shared" si="44"/>
        <v>462.75107949813332</v>
      </c>
      <c r="AE199">
        <f t="shared" si="45"/>
        <v>1.2609341877634561</v>
      </c>
      <c r="AF199">
        <f t="shared" si="46"/>
        <v>4.3139009816413589E-2</v>
      </c>
      <c r="AG199">
        <f t="shared" si="47"/>
        <v>4.3139009816413589E-2</v>
      </c>
      <c r="AI199" s="7">
        <f t="shared" si="48"/>
        <v>484.38107949813332</v>
      </c>
    </row>
    <row r="200" spans="1:35" x14ac:dyDescent="0.25">
      <c r="A200">
        <v>219.8</v>
      </c>
      <c r="B200">
        <v>7.9729999999999999</v>
      </c>
      <c r="C200">
        <v>79.141999999999996</v>
      </c>
      <c r="D200">
        <v>524.17999999999995</v>
      </c>
      <c r="E200">
        <v>348.59500000000003</v>
      </c>
      <c r="F200">
        <v>2.5619999999999998</v>
      </c>
      <c r="G200">
        <v>80.798000000000002</v>
      </c>
      <c r="H200">
        <v>79.376000000000005</v>
      </c>
      <c r="I200">
        <v>5.7510000000000003</v>
      </c>
      <c r="J200">
        <v>8.2520000000000007</v>
      </c>
      <c r="K200">
        <v>54352.159</v>
      </c>
      <c r="L200">
        <v>20.638000000000002</v>
      </c>
      <c r="N200">
        <v>282.52861499999995</v>
      </c>
      <c r="O200">
        <v>354.05345999999992</v>
      </c>
      <c r="P200">
        <v>915.33483999999987</v>
      </c>
      <c r="Q200">
        <v>713.76325999999995</v>
      </c>
      <c r="R200">
        <f t="shared" si="38"/>
        <v>1.7376440195357432</v>
      </c>
      <c r="S200">
        <v>1.6739068749942791</v>
      </c>
      <c r="T200">
        <v>71.524844999999971</v>
      </c>
      <c r="U200">
        <v>201.57157999999993</v>
      </c>
      <c r="V200">
        <v>561.2813799999999</v>
      </c>
      <c r="W200">
        <v>0.23169615033372384</v>
      </c>
      <c r="X200">
        <f t="shared" si="39"/>
        <v>0.67549862948773243</v>
      </c>
      <c r="Y200">
        <f t="shared" si="40"/>
        <v>1.8236377549138016</v>
      </c>
      <c r="AA200" s="3">
        <f t="shared" si="41"/>
        <v>728.00636395476158</v>
      </c>
      <c r="AB200" s="6">
        <f t="shared" si="42"/>
        <v>714.52676805707642</v>
      </c>
      <c r="AC200" s="3">
        <f t="shared" si="43"/>
        <v>709.71262666504595</v>
      </c>
      <c r="AD200">
        <f t="shared" si="44"/>
        <v>461.54841507586985</v>
      </c>
      <c r="AE200">
        <f t="shared" si="45"/>
        <v>1.2609341877634561</v>
      </c>
      <c r="AF200">
        <f t="shared" si="46"/>
        <v>4.3139009816413589E-2</v>
      </c>
      <c r="AG200">
        <f t="shared" si="47"/>
        <v>4.3139009816413589E-2</v>
      </c>
      <c r="AI200" s="7">
        <f t="shared" si="48"/>
        <v>482.18641507586983</v>
      </c>
    </row>
    <row r="201" spans="1:35" x14ac:dyDescent="0.25">
      <c r="A201">
        <v>220.8</v>
      </c>
      <c r="B201">
        <v>7.9349999999999996</v>
      </c>
      <c r="C201">
        <v>79.14</v>
      </c>
      <c r="D201">
        <v>522.66300000000001</v>
      </c>
      <c r="E201">
        <v>348.98500000000001</v>
      </c>
      <c r="F201">
        <v>2.5609999999999999</v>
      </c>
      <c r="G201">
        <v>80.847999999999999</v>
      </c>
      <c r="H201">
        <v>79.503</v>
      </c>
      <c r="I201">
        <v>5.4119999999999999</v>
      </c>
      <c r="J201">
        <v>8.4410000000000007</v>
      </c>
      <c r="K201">
        <v>54353.767999999996</v>
      </c>
      <c r="L201">
        <v>20.901</v>
      </c>
      <c r="N201">
        <v>282.49042499999996</v>
      </c>
      <c r="O201">
        <v>354.05144999999993</v>
      </c>
      <c r="P201">
        <v>913.59332399999994</v>
      </c>
      <c r="Q201">
        <v>714.21097999999995</v>
      </c>
      <c r="R201">
        <f t="shared" si="38"/>
        <v>1.7381318297960608</v>
      </c>
      <c r="S201">
        <v>1.6802831643895988</v>
      </c>
      <c r="T201">
        <v>71.561024999999972</v>
      </c>
      <c r="U201">
        <v>199.38234399999999</v>
      </c>
      <c r="V201">
        <v>559.54187400000001</v>
      </c>
      <c r="W201">
        <v>0.22843923741800246</v>
      </c>
      <c r="X201">
        <f t="shared" si="39"/>
        <v>0.67543658379816895</v>
      </c>
      <c r="Y201">
        <f t="shared" si="40"/>
        <v>1.794863555153374</v>
      </c>
      <c r="AA201" s="3">
        <f t="shared" si="41"/>
        <v>726.14299102301436</v>
      </c>
      <c r="AB201" s="6">
        <f t="shared" si="42"/>
        <v>712.59604483304486</v>
      </c>
      <c r="AC201" s="3">
        <f t="shared" si="43"/>
        <v>707.75784976519867</v>
      </c>
      <c r="AD201">
        <f t="shared" si="44"/>
        <v>455.73957359074166</v>
      </c>
      <c r="AE201">
        <f t="shared" si="45"/>
        <v>1.2609341877634561</v>
      </c>
      <c r="AF201">
        <f t="shared" si="46"/>
        <v>4.3139009816413589E-2</v>
      </c>
      <c r="AG201">
        <f t="shared" si="47"/>
        <v>4.3139009816413589E-2</v>
      </c>
      <c r="AI201" s="7">
        <f t="shared" si="48"/>
        <v>476.64057359074167</v>
      </c>
    </row>
    <row r="202" spans="1:35" x14ac:dyDescent="0.25">
      <c r="A202">
        <v>221.8</v>
      </c>
      <c r="B202">
        <v>7.798</v>
      </c>
      <c r="C202">
        <v>79.182000000000002</v>
      </c>
      <c r="D202">
        <v>525.07500000000005</v>
      </c>
      <c r="E202">
        <v>348.64699999999999</v>
      </c>
      <c r="F202">
        <v>2.5350000000000001</v>
      </c>
      <c r="G202">
        <v>80.796999999999997</v>
      </c>
      <c r="H202">
        <v>79.39</v>
      </c>
      <c r="I202">
        <v>5.4109999999999996</v>
      </c>
      <c r="J202">
        <v>8.2140000000000004</v>
      </c>
      <c r="K202">
        <v>54352.118000000002</v>
      </c>
      <c r="L202">
        <v>20.510999999999999</v>
      </c>
      <c r="N202">
        <v>282.35273999999993</v>
      </c>
      <c r="O202">
        <v>354.09365999999994</v>
      </c>
      <c r="P202">
        <v>916.3623</v>
      </c>
      <c r="Q202">
        <v>713.82295599999998</v>
      </c>
      <c r="R202">
        <f t="shared" si="38"/>
        <v>1.7380770500306504</v>
      </c>
      <c r="S202">
        <v>1.6792610480116792</v>
      </c>
      <c r="T202">
        <v>71.740920000000017</v>
      </c>
      <c r="U202">
        <v>202.53934400000003</v>
      </c>
      <c r="V202">
        <v>562.26864</v>
      </c>
      <c r="W202">
        <v>0.2326262122675026</v>
      </c>
      <c r="X202">
        <f t="shared" si="39"/>
        <v>0.67337299812849227</v>
      </c>
      <c r="Y202">
        <f t="shared" si="40"/>
        <v>1.8197723411265205</v>
      </c>
      <c r="AA202" s="3">
        <f t="shared" si="41"/>
        <v>728.42057604586739</v>
      </c>
      <c r="AB202" s="6">
        <f t="shared" si="42"/>
        <v>714.84749361034164</v>
      </c>
      <c r="AC202" s="3">
        <f t="shared" si="43"/>
        <v>709.99996416908243</v>
      </c>
      <c r="AD202">
        <f t="shared" si="44"/>
        <v>462.21632741536115</v>
      </c>
      <c r="AE202">
        <f t="shared" si="45"/>
        <v>1.2609341877634561</v>
      </c>
      <c r="AF202">
        <f t="shared" si="46"/>
        <v>4.3139009816413589E-2</v>
      </c>
      <c r="AG202">
        <f t="shared" si="47"/>
        <v>4.3139009816413589E-2</v>
      </c>
      <c r="AI202" s="7">
        <f t="shared" si="48"/>
        <v>482.72732741536117</v>
      </c>
    </row>
    <row r="203" spans="1:35" x14ac:dyDescent="0.25">
      <c r="A203">
        <v>222.8</v>
      </c>
      <c r="B203">
        <v>7.7279999999999998</v>
      </c>
      <c r="C203">
        <v>79.156999999999996</v>
      </c>
      <c r="D203">
        <v>524.42399999999998</v>
      </c>
      <c r="E203">
        <v>349.46600000000001</v>
      </c>
      <c r="F203">
        <v>2.5369999999999999</v>
      </c>
      <c r="G203">
        <v>81.016999999999996</v>
      </c>
      <c r="H203">
        <v>79.522999999999996</v>
      </c>
      <c r="I203">
        <v>5.3979999999999997</v>
      </c>
      <c r="J203">
        <v>7.95</v>
      </c>
      <c r="K203">
        <v>54343.334999999999</v>
      </c>
      <c r="L203">
        <v>20.363</v>
      </c>
      <c r="N203">
        <v>282.28238999999996</v>
      </c>
      <c r="O203">
        <v>354.06853499999994</v>
      </c>
      <c r="P203">
        <v>915.6149519999999</v>
      </c>
      <c r="Q203">
        <v>714.76316799999995</v>
      </c>
      <c r="R203">
        <f t="shared" si="38"/>
        <v>1.7401190150607806</v>
      </c>
      <c r="S203">
        <v>1.680682840823523</v>
      </c>
      <c r="T203">
        <v>71.786144999999976</v>
      </c>
      <c r="U203">
        <v>200.85178399999995</v>
      </c>
      <c r="V203">
        <v>561.54641700000002</v>
      </c>
      <c r="W203">
        <v>0.22983966256880234</v>
      </c>
      <c r="X203">
        <f t="shared" si="39"/>
        <v>0.67432623037327466</v>
      </c>
      <c r="Y203">
        <f t="shared" si="40"/>
        <v>1.8033254552518228</v>
      </c>
      <c r="AA203" s="3">
        <f t="shared" si="41"/>
        <v>727.71985379852629</v>
      </c>
      <c r="AB203" s="6">
        <f t="shared" si="42"/>
        <v>714.1371031482397</v>
      </c>
      <c r="AC203" s="3">
        <f t="shared" si="43"/>
        <v>709.28612077313733</v>
      </c>
      <c r="AD203">
        <f t="shared" si="44"/>
        <v>458.40206459870836</v>
      </c>
      <c r="AE203">
        <f t="shared" si="45"/>
        <v>1.2609341877634561</v>
      </c>
      <c r="AF203">
        <f t="shared" si="46"/>
        <v>4.3139009816413589E-2</v>
      </c>
      <c r="AG203">
        <f t="shared" si="47"/>
        <v>4.3139009816413589E-2</v>
      </c>
      <c r="AI203" s="7">
        <f t="shared" si="48"/>
        <v>478.76506459870836</v>
      </c>
    </row>
    <row r="204" spans="1:35" x14ac:dyDescent="0.25">
      <c r="A204">
        <v>223.8</v>
      </c>
      <c r="B204">
        <v>7.7320000000000002</v>
      </c>
      <c r="C204">
        <v>79.215999999999994</v>
      </c>
      <c r="D204">
        <v>523.649</v>
      </c>
      <c r="E204">
        <v>349.61500000000001</v>
      </c>
      <c r="F204">
        <v>2.5419999999999998</v>
      </c>
      <c r="G204">
        <v>80.942999999999998</v>
      </c>
      <c r="H204">
        <v>79.489999999999995</v>
      </c>
      <c r="I204">
        <v>5.3170000000000002</v>
      </c>
      <c r="J204">
        <v>8.2520000000000007</v>
      </c>
      <c r="K204">
        <v>54342.582999999999</v>
      </c>
      <c r="L204">
        <v>20.879000000000001</v>
      </c>
      <c r="N204">
        <v>282.28640999999999</v>
      </c>
      <c r="O204">
        <v>354.12782999999996</v>
      </c>
      <c r="P204">
        <v>914.72525199999995</v>
      </c>
      <c r="Q204">
        <v>714.93421999999998</v>
      </c>
      <c r="R204">
        <f t="shared" si="38"/>
        <v>1.7393391297787668</v>
      </c>
      <c r="S204">
        <v>1.6816306275673838</v>
      </c>
      <c r="T204">
        <v>71.841419999999971</v>
      </c>
      <c r="U204">
        <v>199.79103199999997</v>
      </c>
      <c r="V204">
        <v>560.59742200000005</v>
      </c>
      <c r="W204">
        <v>0.22823796003828214</v>
      </c>
      <c r="X204">
        <f t="shared" si="39"/>
        <v>0.67322746853493143</v>
      </c>
      <c r="Y204">
        <f t="shared" si="40"/>
        <v>1.79372234396311</v>
      </c>
      <c r="AA204" s="3">
        <f t="shared" si="41"/>
        <v>726.94176684364197</v>
      </c>
      <c r="AB204" s="6">
        <f t="shared" si="42"/>
        <v>713.35841595212787</v>
      </c>
      <c r="AC204" s="3">
        <f t="shared" si="43"/>
        <v>708.50721920515855</v>
      </c>
      <c r="AD204">
        <f t="shared" si="44"/>
        <v>456.07289222895679</v>
      </c>
      <c r="AE204">
        <f t="shared" si="45"/>
        <v>1.2609341877634561</v>
      </c>
      <c r="AF204">
        <f t="shared" si="46"/>
        <v>4.3139009816413589E-2</v>
      </c>
      <c r="AG204">
        <f t="shared" si="47"/>
        <v>4.3139009816413589E-2</v>
      </c>
      <c r="AI204" s="7">
        <f t="shared" si="48"/>
        <v>476.95189222895686</v>
      </c>
    </row>
    <row r="205" spans="1:35" x14ac:dyDescent="0.25">
      <c r="A205">
        <v>224.80099999999999</v>
      </c>
      <c r="B205">
        <v>7.7919999999999998</v>
      </c>
      <c r="C205">
        <v>79.17</v>
      </c>
      <c r="D205">
        <v>524.73199999999997</v>
      </c>
      <c r="E205">
        <v>349.43200000000002</v>
      </c>
      <c r="F205">
        <v>2.5539999999999998</v>
      </c>
      <c r="G205">
        <v>81.299000000000007</v>
      </c>
      <c r="H205">
        <v>79.974999999999994</v>
      </c>
      <c r="I205">
        <v>5.4290000000000003</v>
      </c>
      <c r="J205">
        <v>7.4189999999999996</v>
      </c>
      <c r="K205">
        <v>54338.078000000001</v>
      </c>
      <c r="L205">
        <v>20.670999999999999</v>
      </c>
      <c r="N205">
        <v>282.34670999999992</v>
      </c>
      <c r="O205">
        <v>354.08159999999998</v>
      </c>
      <c r="P205">
        <v>915.96853599999986</v>
      </c>
      <c r="Q205">
        <v>714.72413599999993</v>
      </c>
      <c r="R205">
        <f t="shared" si="38"/>
        <v>1.7424991042299207</v>
      </c>
      <c r="S205">
        <v>1.6843540287710344</v>
      </c>
      <c r="T205">
        <v>71.734890000000064</v>
      </c>
      <c r="U205">
        <v>201.24439999999993</v>
      </c>
      <c r="V205">
        <v>561.88693599999988</v>
      </c>
      <c r="W205">
        <v>0.23049033836230692</v>
      </c>
      <c r="X205">
        <f t="shared" si="39"/>
        <v>0.67676284001596887</v>
      </c>
      <c r="Y205">
        <f t="shared" si="40"/>
        <v>1.7990739987112125</v>
      </c>
      <c r="AA205" s="3">
        <f t="shared" si="41"/>
        <v>727.72590853827228</v>
      </c>
      <c r="AB205" s="6">
        <f t="shared" si="42"/>
        <v>714.08444630960298</v>
      </c>
      <c r="AC205" s="3">
        <f t="shared" si="43"/>
        <v>709.21249551364963</v>
      </c>
      <c r="AD205">
        <f t="shared" si="44"/>
        <v>458.35533893132356</v>
      </c>
      <c r="AE205">
        <f t="shared" si="45"/>
        <v>1.2609341877634561</v>
      </c>
      <c r="AF205">
        <f t="shared" si="46"/>
        <v>4.3139009816413589E-2</v>
      </c>
      <c r="AG205">
        <f t="shared" si="47"/>
        <v>4.3139009816413589E-2</v>
      </c>
      <c r="AI205" s="7">
        <f t="shared" si="48"/>
        <v>479.02633893132355</v>
      </c>
    </row>
    <row r="206" spans="1:35" x14ac:dyDescent="0.25">
      <c r="A206">
        <v>225.80099999999999</v>
      </c>
      <c r="B206">
        <v>7.64</v>
      </c>
      <c r="C206">
        <v>79.048000000000002</v>
      </c>
      <c r="D206">
        <v>529.47699999999998</v>
      </c>
      <c r="E206">
        <v>349.58</v>
      </c>
      <c r="F206">
        <v>2.5670000000000002</v>
      </c>
      <c r="G206">
        <v>81.531999999999996</v>
      </c>
      <c r="H206">
        <v>80.049000000000007</v>
      </c>
      <c r="I206">
        <v>5.3049999999999997</v>
      </c>
      <c r="J206">
        <v>8.2040000000000006</v>
      </c>
      <c r="K206">
        <v>54354.472000000002</v>
      </c>
      <c r="L206">
        <v>20.128</v>
      </c>
      <c r="N206">
        <v>282.19394999999992</v>
      </c>
      <c r="O206">
        <v>353.95898999999991</v>
      </c>
      <c r="P206">
        <v>921.41579599999989</v>
      </c>
      <c r="Q206">
        <v>714.89404000000002</v>
      </c>
      <c r="R206">
        <f t="shared" si="38"/>
        <v>1.7444822612122524</v>
      </c>
      <c r="S206">
        <v>1.6869537245530994</v>
      </c>
      <c r="T206">
        <v>71.765039999999999</v>
      </c>
      <c r="U206">
        <v>206.52175599999987</v>
      </c>
      <c r="V206">
        <v>567.45680599999992</v>
      </c>
      <c r="W206">
        <v>0.23747484315132153</v>
      </c>
      <c r="X206">
        <f t="shared" si="39"/>
        <v>0.67761041245893139</v>
      </c>
      <c r="Y206">
        <f t="shared" si="40"/>
        <v>1.8302694487927003</v>
      </c>
      <c r="AA206" s="3">
        <f t="shared" si="41"/>
        <v>731.85827243071276</v>
      </c>
      <c r="AB206" s="6">
        <f t="shared" si="42"/>
        <v>718.09768651446257</v>
      </c>
      <c r="AC206" s="3">
        <f t="shared" si="43"/>
        <v>713.18319154437313</v>
      </c>
      <c r="AD206">
        <f t="shared" si="44"/>
        <v>467.93611555126415</v>
      </c>
      <c r="AE206">
        <f t="shared" si="45"/>
        <v>1.2609341877634561</v>
      </c>
      <c r="AF206">
        <f t="shared" si="46"/>
        <v>4.3139009816413589E-2</v>
      </c>
      <c r="AG206">
        <f t="shared" si="47"/>
        <v>4.3139009816413589E-2</v>
      </c>
      <c r="AI206" s="7">
        <f t="shared" si="48"/>
        <v>488.06411555126414</v>
      </c>
    </row>
    <row r="207" spans="1:35" x14ac:dyDescent="0.25">
      <c r="A207">
        <v>226.80199999999999</v>
      </c>
      <c r="B207">
        <v>7.7889999999999997</v>
      </c>
      <c r="C207">
        <v>78.974999999999994</v>
      </c>
      <c r="D207">
        <v>533.05100000000004</v>
      </c>
      <c r="E207">
        <v>349.911</v>
      </c>
      <c r="F207">
        <v>2.552</v>
      </c>
      <c r="G207">
        <v>81.119</v>
      </c>
      <c r="H207">
        <v>79.745000000000005</v>
      </c>
      <c r="I207">
        <v>5.3289999999999997</v>
      </c>
      <c r="J207">
        <v>8.2140000000000004</v>
      </c>
      <c r="K207">
        <v>54363.764000000003</v>
      </c>
      <c r="L207">
        <v>20.713999999999999</v>
      </c>
      <c r="N207">
        <v>282.34369499999991</v>
      </c>
      <c r="O207">
        <v>353.88562499999995</v>
      </c>
      <c r="P207">
        <v>925.51874799999996</v>
      </c>
      <c r="Q207">
        <v>715.27402799999982</v>
      </c>
      <c r="R207">
        <f t="shared" si="38"/>
        <v>1.7408346848715723</v>
      </c>
      <c r="S207">
        <v>1.6837883284786226</v>
      </c>
      <c r="T207">
        <v>71.541930000000036</v>
      </c>
      <c r="U207">
        <v>210.24472000000014</v>
      </c>
      <c r="V207">
        <v>571.63312300000007</v>
      </c>
      <c r="W207">
        <v>0.2426430247289923</v>
      </c>
      <c r="X207">
        <f t="shared" si="39"/>
        <v>0.67731824840946597</v>
      </c>
      <c r="Y207">
        <f t="shared" si="40"/>
        <v>1.8612629116739434</v>
      </c>
      <c r="AA207" s="3">
        <f t="shared" si="41"/>
        <v>735.35619931495876</v>
      </c>
      <c r="AB207" s="6">
        <f t="shared" si="42"/>
        <v>721.58082140397858</v>
      </c>
      <c r="AC207" s="3">
        <f t="shared" si="43"/>
        <v>716.66104357862844</v>
      </c>
      <c r="AD207">
        <f t="shared" si="44"/>
        <v>475.60646541393339</v>
      </c>
      <c r="AE207">
        <f t="shared" si="45"/>
        <v>1.2609341877634561</v>
      </c>
      <c r="AF207">
        <f t="shared" si="46"/>
        <v>4.3139009816413589E-2</v>
      </c>
      <c r="AG207">
        <f t="shared" si="47"/>
        <v>4.3139009816413589E-2</v>
      </c>
      <c r="AI207" s="7">
        <f t="shared" si="48"/>
        <v>496.32046541393339</v>
      </c>
    </row>
    <row r="208" spans="1:35" x14ac:dyDescent="0.25">
      <c r="A208">
        <v>227.80199999999999</v>
      </c>
      <c r="B208">
        <v>7.7149999999999999</v>
      </c>
      <c r="C208">
        <v>79.058000000000007</v>
      </c>
      <c r="D208">
        <v>531.35400000000004</v>
      </c>
      <c r="E208">
        <v>349.58600000000001</v>
      </c>
      <c r="F208">
        <v>2.5470000000000002</v>
      </c>
      <c r="G208">
        <v>80.766000000000005</v>
      </c>
      <c r="H208">
        <v>79.344999999999999</v>
      </c>
      <c r="I208">
        <v>5.3559999999999999</v>
      </c>
      <c r="J208">
        <v>6.7</v>
      </c>
      <c r="K208">
        <v>54347.046999999999</v>
      </c>
      <c r="L208">
        <v>20.841000000000001</v>
      </c>
      <c r="N208">
        <v>282.26932499999992</v>
      </c>
      <c r="O208">
        <v>353.96903999999995</v>
      </c>
      <c r="P208">
        <v>923.57059199999992</v>
      </c>
      <c r="Q208">
        <v>714.90092799999991</v>
      </c>
      <c r="R208">
        <f t="shared" si="38"/>
        <v>1.7375880505813461</v>
      </c>
      <c r="S208">
        <v>1.6796961122951424</v>
      </c>
      <c r="T208">
        <v>71.699715000000026</v>
      </c>
      <c r="U208">
        <v>208.66966400000001</v>
      </c>
      <c r="V208">
        <v>569.60155199999997</v>
      </c>
      <c r="W208">
        <v>0.24046624964252203</v>
      </c>
      <c r="X208">
        <f t="shared" si="39"/>
        <v>0.67319028998971053</v>
      </c>
      <c r="Y208">
        <f t="shared" si="40"/>
        <v>1.8593487666593433</v>
      </c>
      <c r="AA208" s="3">
        <f t="shared" si="41"/>
        <v>734.11754946057977</v>
      </c>
      <c r="AB208" s="6">
        <f t="shared" si="42"/>
        <v>720.43129518902583</v>
      </c>
      <c r="AC208" s="3">
        <f t="shared" si="43"/>
        <v>715.54334723489933</v>
      </c>
      <c r="AD208">
        <f t="shared" si="44"/>
        <v>473.61207517756907</v>
      </c>
      <c r="AE208">
        <f t="shared" si="45"/>
        <v>1.2609341877634561</v>
      </c>
      <c r="AF208">
        <f t="shared" si="46"/>
        <v>4.3139009816413589E-2</v>
      </c>
      <c r="AG208">
        <f t="shared" si="47"/>
        <v>4.3139009816413589E-2</v>
      </c>
      <c r="AI208" s="7">
        <f t="shared" si="48"/>
        <v>494.45307517756908</v>
      </c>
    </row>
    <row r="209" spans="1:35" x14ac:dyDescent="0.25">
      <c r="A209">
        <v>228.80199999999999</v>
      </c>
      <c r="B209">
        <v>7.6289999999999996</v>
      </c>
      <c r="C209">
        <v>79.031000000000006</v>
      </c>
      <c r="D209">
        <v>531.09199999999998</v>
      </c>
      <c r="E209">
        <v>349.28800000000001</v>
      </c>
      <c r="F209">
        <v>2.5379999999999998</v>
      </c>
      <c r="G209">
        <v>80.933000000000007</v>
      </c>
      <c r="H209">
        <v>79.444999999999993</v>
      </c>
      <c r="I209">
        <v>5.266</v>
      </c>
      <c r="J209">
        <v>7.1909999999999998</v>
      </c>
      <c r="K209">
        <v>54329.561999999998</v>
      </c>
      <c r="L209">
        <v>20.702999999999999</v>
      </c>
      <c r="N209">
        <v>282.18289499999997</v>
      </c>
      <c r="O209">
        <v>353.94190499999996</v>
      </c>
      <c r="P209">
        <v>923.26981599999988</v>
      </c>
      <c r="Q209">
        <v>714.55882399999996</v>
      </c>
      <c r="R209">
        <f t="shared" si="38"/>
        <v>1.7393104358814764</v>
      </c>
      <c r="S209">
        <v>1.6820054061011711</v>
      </c>
      <c r="T209">
        <v>71.759009999999989</v>
      </c>
      <c r="U209">
        <v>208.71099199999992</v>
      </c>
      <c r="V209">
        <v>569.32791099999986</v>
      </c>
      <c r="W209">
        <v>0.24055026875364269</v>
      </c>
      <c r="X209">
        <f t="shared" si="39"/>
        <v>0.67373175311333111</v>
      </c>
      <c r="Y209">
        <f t="shared" si="40"/>
        <v>1.8557191525358541</v>
      </c>
      <c r="AA209" s="3">
        <f t="shared" si="41"/>
        <v>733.70391247682835</v>
      </c>
      <c r="AB209" s="6">
        <f t="shared" si="42"/>
        <v>719.98817323621165</v>
      </c>
      <c r="AC209" s="3">
        <f t="shared" si="43"/>
        <v>715.08969493599136</v>
      </c>
      <c r="AD209">
        <f t="shared" si="44"/>
        <v>473.26017976409338</v>
      </c>
      <c r="AE209">
        <f t="shared" si="45"/>
        <v>1.2609341877634561</v>
      </c>
      <c r="AF209">
        <f t="shared" si="46"/>
        <v>4.3139009816413589E-2</v>
      </c>
      <c r="AG209">
        <f t="shared" si="47"/>
        <v>4.3139009816413589E-2</v>
      </c>
      <c r="AI209" s="7">
        <f t="shared" si="48"/>
        <v>493.96317976409335</v>
      </c>
    </row>
    <row r="210" spans="1:35" x14ac:dyDescent="0.25">
      <c r="A210">
        <v>229.80199999999999</v>
      </c>
      <c r="B210">
        <v>7.6130000000000004</v>
      </c>
      <c r="C210">
        <v>79.114999999999995</v>
      </c>
      <c r="D210">
        <v>535.30200000000002</v>
      </c>
      <c r="E210">
        <v>349.279</v>
      </c>
      <c r="F210">
        <v>2.5819999999999999</v>
      </c>
      <c r="G210">
        <v>81.293000000000006</v>
      </c>
      <c r="H210">
        <v>79.838999999999999</v>
      </c>
      <c r="I210">
        <v>5.359</v>
      </c>
      <c r="J210">
        <v>7.0030000000000001</v>
      </c>
      <c r="K210">
        <v>54334.536</v>
      </c>
      <c r="L210">
        <v>20.978000000000002</v>
      </c>
      <c r="N210">
        <v>282.16681499999993</v>
      </c>
      <c r="O210">
        <v>354.02632499999993</v>
      </c>
      <c r="P210">
        <v>928.10289599999987</v>
      </c>
      <c r="Q210">
        <v>714.5484919999999</v>
      </c>
      <c r="R210">
        <f t="shared" si="38"/>
        <v>1.7419826172206407</v>
      </c>
      <c r="S210">
        <v>1.6841878025702974</v>
      </c>
      <c r="T210">
        <v>71.85951</v>
      </c>
      <c r="U210">
        <v>213.55440399999998</v>
      </c>
      <c r="V210">
        <v>574.07657099999994</v>
      </c>
      <c r="W210">
        <v>0.24682229019236529</v>
      </c>
      <c r="X210">
        <f t="shared" si="39"/>
        <v>0.67476898378481975</v>
      </c>
      <c r="Y210">
        <f t="shared" si="40"/>
        <v>1.8844957450428108</v>
      </c>
      <c r="AA210" s="3">
        <f t="shared" si="41"/>
        <v>737.37910935945501</v>
      </c>
      <c r="AB210" s="6">
        <f t="shared" si="42"/>
        <v>723.55938062379346</v>
      </c>
      <c r="AC210" s="3">
        <f t="shared" si="43"/>
        <v>718.62376321820011</v>
      </c>
      <c r="AD210">
        <f t="shared" si="44"/>
        <v>481.86653122231871</v>
      </c>
      <c r="AE210">
        <f t="shared" si="45"/>
        <v>1.2609341877634561</v>
      </c>
      <c r="AF210">
        <f t="shared" si="46"/>
        <v>4.3139009816413589E-2</v>
      </c>
      <c r="AG210">
        <f t="shared" si="47"/>
        <v>4.3139009816413589E-2</v>
      </c>
      <c r="AI210" s="7">
        <f t="shared" si="48"/>
        <v>502.84453122231872</v>
      </c>
    </row>
    <row r="211" spans="1:35" x14ac:dyDescent="0.25">
      <c r="A211">
        <v>230.80199999999999</v>
      </c>
      <c r="B211">
        <v>7.6159999999999997</v>
      </c>
      <c r="C211">
        <v>79.156000000000006</v>
      </c>
      <c r="D211">
        <v>533.95500000000004</v>
      </c>
      <c r="E211">
        <v>349.38600000000002</v>
      </c>
      <c r="F211">
        <v>2.5369999999999999</v>
      </c>
      <c r="G211">
        <v>81.555999999999997</v>
      </c>
      <c r="H211">
        <v>80.134</v>
      </c>
      <c r="I211">
        <v>5.444</v>
      </c>
      <c r="J211">
        <v>8.2520000000000007</v>
      </c>
      <c r="K211">
        <v>54360.675000000003</v>
      </c>
      <c r="L211">
        <v>20.983000000000001</v>
      </c>
      <c r="N211">
        <v>282.16982999999993</v>
      </c>
      <c r="O211">
        <v>354.06752999999992</v>
      </c>
      <c r="P211">
        <v>926.55653999999993</v>
      </c>
      <c r="Q211">
        <v>714.67132800000002</v>
      </c>
      <c r="R211">
        <f t="shared" si="38"/>
        <v>1.7452021464205887</v>
      </c>
      <c r="S211">
        <v>1.6855815831987078</v>
      </c>
      <c r="T211">
        <v>71.897699999999986</v>
      </c>
      <c r="U211">
        <v>211.88521199999991</v>
      </c>
      <c r="V211">
        <v>572.48901000000001</v>
      </c>
      <c r="W211">
        <v>0.24452436562930688</v>
      </c>
      <c r="X211">
        <f t="shared" si="39"/>
        <v>0.6768447134115031</v>
      </c>
      <c r="Y211">
        <f t="shared" si="40"/>
        <v>1.8701082274381171</v>
      </c>
      <c r="AA211" s="3">
        <f t="shared" si="41"/>
        <v>736.0451126361296</v>
      </c>
      <c r="AB211" s="6">
        <f t="shared" si="42"/>
        <v>722.22791231537701</v>
      </c>
      <c r="AC211" s="3">
        <f t="shared" si="43"/>
        <v>717.29319791510818</v>
      </c>
      <c r="AD211">
        <f t="shared" si="44"/>
        <v>478.42724700429164</v>
      </c>
      <c r="AE211">
        <f t="shared" si="45"/>
        <v>1.2609341877634561</v>
      </c>
      <c r="AF211">
        <f t="shared" si="46"/>
        <v>4.3139009816413589E-2</v>
      </c>
      <c r="AG211">
        <f t="shared" si="47"/>
        <v>4.3139009816413589E-2</v>
      </c>
      <c r="AI211" s="7">
        <f t="shared" si="48"/>
        <v>499.4102470042917</v>
      </c>
    </row>
    <row r="212" spans="1:35" x14ac:dyDescent="0.25">
      <c r="A212">
        <v>231.80199999999999</v>
      </c>
      <c r="B212">
        <v>7.75</v>
      </c>
      <c r="C212">
        <v>79.225999999999999</v>
      </c>
      <c r="D212">
        <v>533.20799999999997</v>
      </c>
      <c r="E212">
        <v>349.86799999999999</v>
      </c>
      <c r="F212">
        <v>2.556</v>
      </c>
      <c r="G212">
        <v>81.388999999999996</v>
      </c>
      <c r="H212">
        <v>80.171000000000006</v>
      </c>
      <c r="I212">
        <v>5.5030000000000001</v>
      </c>
      <c r="J212">
        <v>8.0239999999999991</v>
      </c>
      <c r="K212">
        <v>54383.974999999999</v>
      </c>
      <c r="L212">
        <v>20.824000000000002</v>
      </c>
      <c r="N212">
        <v>282.30449999999996</v>
      </c>
      <c r="O212">
        <v>354.13787999999994</v>
      </c>
      <c r="P212">
        <v>925.69898399999988</v>
      </c>
      <c r="Q212">
        <v>715.22466399999996</v>
      </c>
      <c r="R212">
        <f t="shared" si="38"/>
        <v>1.7433148525307387</v>
      </c>
      <c r="S212">
        <v>1.6850086694861608</v>
      </c>
      <c r="T212">
        <v>71.833379999999977</v>
      </c>
      <c r="U212">
        <v>210.47431999999992</v>
      </c>
      <c r="V212">
        <v>571.56110399999989</v>
      </c>
      <c r="W212">
        <v>0.24256538632481886</v>
      </c>
      <c r="X212">
        <f t="shared" si="39"/>
        <v>0.67634984575499657</v>
      </c>
      <c r="Y212">
        <f t="shared" si="40"/>
        <v>1.8605106928856741</v>
      </c>
      <c r="AA212" s="3">
        <f t="shared" si="41"/>
        <v>735.4071581130022</v>
      </c>
      <c r="AB212" s="6">
        <f t="shared" si="42"/>
        <v>721.61116107941939</v>
      </c>
      <c r="AC212" s="3">
        <f t="shared" si="43"/>
        <v>716.68401928171124</v>
      </c>
      <c r="AD212">
        <f t="shared" si="44"/>
        <v>475.78345687754512</v>
      </c>
      <c r="AE212">
        <f t="shared" si="45"/>
        <v>1.2609341877634561</v>
      </c>
      <c r="AF212">
        <f t="shared" si="46"/>
        <v>4.3139009816413589E-2</v>
      </c>
      <c r="AG212">
        <f t="shared" si="47"/>
        <v>4.3139009816413589E-2</v>
      </c>
      <c r="AI212" s="7">
        <f t="shared" si="48"/>
        <v>496.60745687754508</v>
      </c>
    </row>
    <row r="213" spans="1:35" x14ac:dyDescent="0.25">
      <c r="A213">
        <v>232.80199999999999</v>
      </c>
      <c r="B213">
        <v>7.7960000000000003</v>
      </c>
      <c r="C213">
        <v>79.313000000000002</v>
      </c>
      <c r="D213">
        <v>528.70600000000002</v>
      </c>
      <c r="E213">
        <v>350.31099999999998</v>
      </c>
      <c r="F213">
        <v>2.569</v>
      </c>
      <c r="G213">
        <v>81.436999999999998</v>
      </c>
      <c r="H213">
        <v>80.010999999999996</v>
      </c>
      <c r="I213">
        <v>5.6580000000000004</v>
      </c>
      <c r="J213">
        <v>8.0109999999999992</v>
      </c>
      <c r="K213">
        <v>54387.525000000001</v>
      </c>
      <c r="L213">
        <v>20.478999999999999</v>
      </c>
      <c r="N213">
        <v>282.35072999999994</v>
      </c>
      <c r="O213">
        <v>354.22531499999991</v>
      </c>
      <c r="P213">
        <v>920.53068799999994</v>
      </c>
      <c r="Q213">
        <v>715.73322799999994</v>
      </c>
      <c r="R213">
        <f t="shared" si="38"/>
        <v>1.7435537244623784</v>
      </c>
      <c r="S213">
        <v>1.6811502592572234</v>
      </c>
      <c r="T213">
        <v>71.874584999999968</v>
      </c>
      <c r="U213">
        <v>204.79746</v>
      </c>
      <c r="V213">
        <v>566.30537300000003</v>
      </c>
      <c r="W213">
        <v>0.23471943113631738</v>
      </c>
      <c r="X213">
        <f t="shared" si="39"/>
        <v>0.67625304724855984</v>
      </c>
      <c r="Y213">
        <f t="shared" si="40"/>
        <v>1.8280152364283815</v>
      </c>
      <c r="AA213" s="3">
        <f t="shared" si="41"/>
        <v>731.5915965965811</v>
      </c>
      <c r="AB213" s="6">
        <f t="shared" si="42"/>
        <v>717.92907371258298</v>
      </c>
      <c r="AC213" s="3">
        <f t="shared" si="43"/>
        <v>713.04960125401215</v>
      </c>
      <c r="AD213">
        <f t="shared" si="44"/>
        <v>465.72384225428107</v>
      </c>
      <c r="AE213">
        <f t="shared" si="45"/>
        <v>1.2609341877634561</v>
      </c>
      <c r="AF213">
        <f t="shared" si="46"/>
        <v>4.3139009816413589E-2</v>
      </c>
      <c r="AG213">
        <f t="shared" si="47"/>
        <v>4.3139009816413589E-2</v>
      </c>
      <c r="AI213" s="7">
        <f t="shared" si="48"/>
        <v>486.20284225428105</v>
      </c>
    </row>
    <row r="214" spans="1:35" x14ac:dyDescent="0.25">
      <c r="A214">
        <v>233.80199999999999</v>
      </c>
      <c r="B214">
        <v>7.7</v>
      </c>
      <c r="C214">
        <v>79.266999999999996</v>
      </c>
      <c r="D214">
        <v>528.096</v>
      </c>
      <c r="E214">
        <v>350.07100000000003</v>
      </c>
      <c r="F214">
        <v>2.5569999999999999</v>
      </c>
      <c r="G214">
        <v>81.239000000000004</v>
      </c>
      <c r="H214">
        <v>79.796000000000006</v>
      </c>
      <c r="I214">
        <v>5.2910000000000004</v>
      </c>
      <c r="J214">
        <v>8.5540000000000003</v>
      </c>
      <c r="K214">
        <v>54391.455999999998</v>
      </c>
      <c r="L214">
        <v>21.384</v>
      </c>
      <c r="N214">
        <v>282.25424999999996</v>
      </c>
      <c r="O214">
        <v>354.17908499999993</v>
      </c>
      <c r="P214">
        <v>919.83040799999992</v>
      </c>
      <c r="Q214">
        <v>715.45770799999991</v>
      </c>
      <c r="R214">
        <f t="shared" si="38"/>
        <v>1.7418840812016181</v>
      </c>
      <c r="S214">
        <v>1.6848452537434162</v>
      </c>
      <c r="T214">
        <v>71.924834999999973</v>
      </c>
      <c r="U214">
        <v>204.37270000000001</v>
      </c>
      <c r="V214">
        <v>565.65132300000005</v>
      </c>
      <c r="W214">
        <v>0.23415107437130492</v>
      </c>
      <c r="X214">
        <f t="shared" si="39"/>
        <v>0.67429070940839175</v>
      </c>
      <c r="Y214">
        <f t="shared" si="40"/>
        <v>1.8184172799264966</v>
      </c>
      <c r="AA214" s="3">
        <f t="shared" si="41"/>
        <v>730.757228575005</v>
      </c>
      <c r="AB214" s="6">
        <f t="shared" si="42"/>
        <v>717.05107857570033</v>
      </c>
      <c r="AC214" s="3">
        <f t="shared" si="43"/>
        <v>712.15602500452019</v>
      </c>
      <c r="AD214">
        <f t="shared" si="44"/>
        <v>464.14853270241838</v>
      </c>
      <c r="AE214">
        <f t="shared" si="45"/>
        <v>1.2609341877634561</v>
      </c>
      <c r="AF214">
        <f t="shared" si="46"/>
        <v>4.3139009816413589E-2</v>
      </c>
      <c r="AG214">
        <f t="shared" si="47"/>
        <v>4.3139009816413589E-2</v>
      </c>
      <c r="AI214" s="7">
        <f t="shared" si="48"/>
        <v>485.53253270241839</v>
      </c>
    </row>
    <row r="215" spans="1:35" x14ac:dyDescent="0.25">
      <c r="A215">
        <v>234.80199999999999</v>
      </c>
      <c r="B215">
        <v>7.7789999999999999</v>
      </c>
      <c r="C215">
        <v>79.305000000000007</v>
      </c>
      <c r="D215">
        <v>524.99900000000002</v>
      </c>
      <c r="E215">
        <v>349.93900000000002</v>
      </c>
      <c r="F215">
        <v>2.5830000000000002</v>
      </c>
      <c r="G215">
        <v>81.254999999999995</v>
      </c>
      <c r="H215">
        <v>79.751999999999995</v>
      </c>
      <c r="I215">
        <v>5.4370000000000003</v>
      </c>
      <c r="J215">
        <v>7.1539999999999999</v>
      </c>
      <c r="K215">
        <v>54372.466</v>
      </c>
      <c r="L215">
        <v>20.824000000000002</v>
      </c>
      <c r="N215">
        <v>282.33364499999993</v>
      </c>
      <c r="O215">
        <v>354.21727499999997</v>
      </c>
      <c r="P215">
        <v>916.27505199999996</v>
      </c>
      <c r="Q215">
        <v>715.30617199999983</v>
      </c>
      <c r="R215">
        <f t="shared" si="38"/>
        <v>1.7416079861994853</v>
      </c>
      <c r="S215">
        <v>1.6821832802445451</v>
      </c>
      <c r="T215">
        <v>71.883630000000039</v>
      </c>
      <c r="U215">
        <v>200.96888000000013</v>
      </c>
      <c r="V215">
        <v>562.05777699999999</v>
      </c>
      <c r="W215">
        <v>0.22966544594222399</v>
      </c>
      <c r="X215">
        <f t="shared" si="39"/>
        <v>0.6746585594889678</v>
      </c>
      <c r="Y215">
        <f t="shared" si="40"/>
        <v>1.8001795246167076</v>
      </c>
      <c r="AA215" s="3">
        <f t="shared" si="41"/>
        <v>728.13198321005677</v>
      </c>
      <c r="AB215" s="6">
        <f t="shared" si="42"/>
        <v>714.51756327867895</v>
      </c>
      <c r="AC215" s="3">
        <f t="shared" si="43"/>
        <v>709.65527044604403</v>
      </c>
      <c r="AD215">
        <f t="shared" si="44"/>
        <v>458.17025360432012</v>
      </c>
      <c r="AE215">
        <f t="shared" si="45"/>
        <v>1.2609341877634561</v>
      </c>
      <c r="AF215">
        <f t="shared" si="46"/>
        <v>4.3139009816413589E-2</v>
      </c>
      <c r="AG215">
        <f t="shared" si="47"/>
        <v>4.3139009816413589E-2</v>
      </c>
      <c r="AI215" s="7">
        <f t="shared" si="48"/>
        <v>478.99425360432014</v>
      </c>
    </row>
    <row r="216" spans="1:35" x14ac:dyDescent="0.25">
      <c r="A216">
        <v>235.80199999999999</v>
      </c>
      <c r="B216">
        <v>7.984</v>
      </c>
      <c r="C216">
        <v>79.212999999999994</v>
      </c>
      <c r="D216">
        <v>523.83100000000002</v>
      </c>
      <c r="E216">
        <v>350.87299999999999</v>
      </c>
      <c r="F216">
        <v>2.5579999999999998</v>
      </c>
      <c r="G216">
        <v>81.337000000000003</v>
      </c>
      <c r="H216">
        <v>79.971000000000004</v>
      </c>
      <c r="I216">
        <v>5.46</v>
      </c>
      <c r="J216">
        <v>8.1379999999999999</v>
      </c>
      <c r="K216">
        <v>54369.595000000001</v>
      </c>
      <c r="L216">
        <v>20.231999999999999</v>
      </c>
      <c r="N216">
        <v>282.53966999999994</v>
      </c>
      <c r="O216">
        <v>354.1248149999999</v>
      </c>
      <c r="P216">
        <v>914.93418799999995</v>
      </c>
      <c r="Q216">
        <v>716.37840399999982</v>
      </c>
      <c r="R216">
        <f t="shared" si="38"/>
        <v>1.7427916800241376</v>
      </c>
      <c r="S216">
        <v>1.6838381057268723</v>
      </c>
      <c r="T216">
        <v>71.585144999999955</v>
      </c>
      <c r="U216">
        <v>198.55578400000013</v>
      </c>
      <c r="V216">
        <v>560.80937300000005</v>
      </c>
      <c r="W216">
        <v>0.22640605723257085</v>
      </c>
      <c r="X216">
        <f t="shared" si="39"/>
        <v>0.67886388860786351</v>
      </c>
      <c r="Y216">
        <f t="shared" si="40"/>
        <v>1.7780233586338285</v>
      </c>
      <c r="AA216" s="3">
        <f t="shared" si="41"/>
        <v>726.94268503900628</v>
      </c>
      <c r="AB216" s="6">
        <f t="shared" si="42"/>
        <v>713.32412379659081</v>
      </c>
      <c r="AC216" s="3">
        <f t="shared" si="43"/>
        <v>708.46035192429952</v>
      </c>
      <c r="AD216">
        <f t="shared" si="44"/>
        <v>452.80832615685495</v>
      </c>
      <c r="AE216">
        <f t="shared" si="45"/>
        <v>1.2609341877634561</v>
      </c>
      <c r="AF216">
        <f t="shared" si="46"/>
        <v>4.3139009816413589E-2</v>
      </c>
      <c r="AG216">
        <f t="shared" si="47"/>
        <v>4.3139009816413589E-2</v>
      </c>
      <c r="AI216" s="7">
        <f t="shared" si="48"/>
        <v>473.04032615685492</v>
      </c>
    </row>
    <row r="217" spans="1:35" x14ac:dyDescent="0.25">
      <c r="A217">
        <v>236.80199999999999</v>
      </c>
      <c r="B217">
        <v>8.1579999999999995</v>
      </c>
      <c r="C217">
        <v>79.284000000000006</v>
      </c>
      <c r="D217">
        <v>524.02300000000002</v>
      </c>
      <c r="E217">
        <v>350.39600000000002</v>
      </c>
      <c r="F217">
        <v>2.5350000000000001</v>
      </c>
      <c r="G217">
        <v>81.046999999999997</v>
      </c>
      <c r="H217">
        <v>79.638000000000005</v>
      </c>
      <c r="I217">
        <v>5.3410000000000002</v>
      </c>
      <c r="J217">
        <v>7.8730000000000002</v>
      </c>
      <c r="K217">
        <v>54373.688000000002</v>
      </c>
      <c r="L217">
        <v>20.373999999999999</v>
      </c>
      <c r="N217">
        <v>282.71453999999994</v>
      </c>
      <c r="O217">
        <v>354.19616999999994</v>
      </c>
      <c r="P217">
        <v>915.15460399999995</v>
      </c>
      <c r="Q217">
        <v>715.83080800000005</v>
      </c>
      <c r="R217">
        <f t="shared" si="38"/>
        <v>1.7404347621068514</v>
      </c>
      <c r="S217">
        <v>1.6826196010694501</v>
      </c>
      <c r="T217">
        <v>71.481629999999996</v>
      </c>
      <c r="U217">
        <v>199.3237959999999</v>
      </c>
      <c r="V217">
        <v>560.95843400000001</v>
      </c>
      <c r="W217">
        <v>0.22789953453128739</v>
      </c>
      <c r="X217">
        <f t="shared" si="39"/>
        <v>0.67847581382054556</v>
      </c>
      <c r="Y217">
        <f t="shared" si="40"/>
        <v>1.7867953138946211</v>
      </c>
      <c r="AA217" s="3">
        <f t="shared" si="41"/>
        <v>727.20894814253427</v>
      </c>
      <c r="AB217" s="6">
        <f t="shared" si="42"/>
        <v>713.60482694802704</v>
      </c>
      <c r="AC217" s="3">
        <f t="shared" si="43"/>
        <v>708.74621223570307</v>
      </c>
      <c r="AD217">
        <f t="shared" si="44"/>
        <v>454.72526504766586</v>
      </c>
      <c r="AE217">
        <f t="shared" si="45"/>
        <v>1.2609341877634561</v>
      </c>
      <c r="AF217">
        <f t="shared" si="46"/>
        <v>4.3139009816413589E-2</v>
      </c>
      <c r="AG217">
        <f t="shared" si="47"/>
        <v>4.3139009816413589E-2</v>
      </c>
      <c r="AI217" s="7">
        <f t="shared" si="48"/>
        <v>475.09926504766588</v>
      </c>
    </row>
    <row r="218" spans="1:35" x14ac:dyDescent="0.25">
      <c r="A218">
        <v>237.80199999999999</v>
      </c>
      <c r="B218">
        <v>8.0920000000000005</v>
      </c>
      <c r="C218">
        <v>79.293000000000006</v>
      </c>
      <c r="D218">
        <v>521.47299999999996</v>
      </c>
      <c r="E218">
        <v>350.79599999999999</v>
      </c>
      <c r="F218">
        <v>2.57</v>
      </c>
      <c r="G218">
        <v>80.988</v>
      </c>
      <c r="H218">
        <v>79.680000000000007</v>
      </c>
      <c r="I218">
        <v>5.4749999999999996</v>
      </c>
      <c r="J218">
        <v>8.0640000000000001</v>
      </c>
      <c r="K218">
        <v>54354.084000000003</v>
      </c>
      <c r="L218">
        <v>21.137</v>
      </c>
      <c r="N218">
        <v>282.64820999999995</v>
      </c>
      <c r="O218">
        <v>354.20521499999995</v>
      </c>
      <c r="P218">
        <v>912.2272039999998</v>
      </c>
      <c r="Q218">
        <v>716.29000799999983</v>
      </c>
      <c r="R218">
        <f t="shared" si="38"/>
        <v>1.7393042330536439</v>
      </c>
      <c r="S218">
        <v>1.6809359944941502</v>
      </c>
      <c r="T218">
        <v>71.557005000000004</v>
      </c>
      <c r="U218">
        <v>195.93719599999997</v>
      </c>
      <c r="V218">
        <v>558.02198899999985</v>
      </c>
      <c r="W218">
        <v>0.22289478452792655</v>
      </c>
      <c r="X218">
        <f t="shared" si="39"/>
        <v>0.67674308849907572</v>
      </c>
      <c r="Y218">
        <f t="shared" si="40"/>
        <v>1.7652539536843384</v>
      </c>
      <c r="AA218" s="3">
        <f t="shared" si="41"/>
        <v>725.00840446629991</v>
      </c>
      <c r="AB218" s="6">
        <f t="shared" si="42"/>
        <v>711.47223311252492</v>
      </c>
      <c r="AC218" s="3">
        <f t="shared" si="43"/>
        <v>706.6378862004625</v>
      </c>
      <c r="AD218">
        <f t="shared" si="44"/>
        <v>448.28588113653257</v>
      </c>
      <c r="AE218">
        <f t="shared" si="45"/>
        <v>1.2609341877634561</v>
      </c>
      <c r="AF218">
        <f t="shared" si="46"/>
        <v>4.3139009816413589E-2</v>
      </c>
      <c r="AG218">
        <f t="shared" si="47"/>
        <v>4.3139009816413589E-2</v>
      </c>
      <c r="AI218" s="7">
        <f t="shared" si="48"/>
        <v>469.42288113653257</v>
      </c>
    </row>
    <row r="219" spans="1:35" x14ac:dyDescent="0.25">
      <c r="A219">
        <v>238.80199999999999</v>
      </c>
      <c r="B219">
        <v>7.9509999999999996</v>
      </c>
      <c r="C219">
        <v>79.266999999999996</v>
      </c>
      <c r="D219">
        <v>519.74599999999998</v>
      </c>
      <c r="E219">
        <v>351.04500000000002</v>
      </c>
      <c r="F219">
        <v>2.5289999999999999</v>
      </c>
      <c r="G219">
        <v>80.75</v>
      </c>
      <c r="H219">
        <v>79.289000000000001</v>
      </c>
      <c r="I219">
        <v>5.3879999999999999</v>
      </c>
      <c r="J219">
        <v>7.2770000000000001</v>
      </c>
      <c r="K219">
        <v>54330.775999999998</v>
      </c>
      <c r="L219">
        <v>20.725000000000001</v>
      </c>
      <c r="N219">
        <v>282.50650499999995</v>
      </c>
      <c r="O219">
        <v>354.17908499999993</v>
      </c>
      <c r="P219">
        <v>910.24460799999986</v>
      </c>
      <c r="Q219">
        <v>716.57585999999992</v>
      </c>
      <c r="R219">
        <f t="shared" si="38"/>
        <v>1.7377321298889927</v>
      </c>
      <c r="S219">
        <v>1.6786881933730069</v>
      </c>
      <c r="T219">
        <v>71.672579999999982</v>
      </c>
      <c r="U219">
        <v>193.66874799999994</v>
      </c>
      <c r="V219">
        <v>556.06552299999998</v>
      </c>
      <c r="W219">
        <v>0.21939171366321153</v>
      </c>
      <c r="X219">
        <f t="shared" si="39"/>
        <v>0.67412037418155124</v>
      </c>
      <c r="Y219">
        <f t="shared" si="40"/>
        <v>1.7528475769642333</v>
      </c>
      <c r="AA219" s="3">
        <f t="shared" si="41"/>
        <v>723.60034554819333</v>
      </c>
      <c r="AB219" s="6">
        <f t="shared" si="42"/>
        <v>710.12619051589763</v>
      </c>
      <c r="AC219" s="3">
        <f t="shared" si="43"/>
        <v>705.31399229007775</v>
      </c>
      <c r="AD219">
        <f t="shared" si="44"/>
        <v>444.18241008002684</v>
      </c>
      <c r="AE219">
        <f t="shared" si="45"/>
        <v>1.2609341877634561</v>
      </c>
      <c r="AF219">
        <f t="shared" si="46"/>
        <v>4.3139009816413589E-2</v>
      </c>
      <c r="AG219">
        <f t="shared" si="47"/>
        <v>4.3139009816413589E-2</v>
      </c>
      <c r="AI219" s="7">
        <f t="shared" si="48"/>
        <v>464.90741008002692</v>
      </c>
    </row>
    <row r="220" spans="1:35" x14ac:dyDescent="0.25">
      <c r="A220">
        <v>239.80199999999999</v>
      </c>
      <c r="B220">
        <v>7.8070000000000004</v>
      </c>
      <c r="C220">
        <v>79.305000000000007</v>
      </c>
      <c r="D220">
        <v>518.78399999999999</v>
      </c>
      <c r="E220">
        <v>350.62</v>
      </c>
      <c r="F220">
        <v>2.5299999999999998</v>
      </c>
      <c r="G220">
        <v>81.08</v>
      </c>
      <c r="H220">
        <v>79.680999999999997</v>
      </c>
      <c r="I220">
        <v>5.2519999999999998</v>
      </c>
      <c r="J220">
        <v>7.6619999999999999</v>
      </c>
      <c r="K220">
        <v>54290.993000000002</v>
      </c>
      <c r="L220">
        <v>21.751000000000001</v>
      </c>
      <c r="N220">
        <v>282.36178499999994</v>
      </c>
      <c r="O220">
        <v>354.21727499999997</v>
      </c>
      <c r="P220">
        <v>909.14023199999986</v>
      </c>
      <c r="Q220">
        <v>716.08795999999995</v>
      </c>
      <c r="R220">
        <f t="shared" si="38"/>
        <v>1.7408280675280579</v>
      </c>
      <c r="S220">
        <v>1.6843920111814035</v>
      </c>
      <c r="T220">
        <v>71.855490000000032</v>
      </c>
      <c r="U220">
        <v>193.0522719999999</v>
      </c>
      <c r="V220">
        <v>554.92295699999988</v>
      </c>
      <c r="W220">
        <v>0.21840289804409713</v>
      </c>
      <c r="X220">
        <f t="shared" si="39"/>
        <v>0.67440080191948359</v>
      </c>
      <c r="Y220">
        <f t="shared" si="40"/>
        <v>1.7387303400041161</v>
      </c>
      <c r="AA220" s="3">
        <f t="shared" si="41"/>
        <v>722.29808394431461</v>
      </c>
      <c r="AB220" s="6">
        <f t="shared" si="42"/>
        <v>708.75776693348689</v>
      </c>
      <c r="AC220" s="3">
        <f t="shared" si="43"/>
        <v>703.92193942961978</v>
      </c>
      <c r="AD220">
        <f t="shared" si="44"/>
        <v>441.73737998870547</v>
      </c>
      <c r="AE220">
        <f t="shared" si="45"/>
        <v>1.2609341877634561</v>
      </c>
      <c r="AF220">
        <f t="shared" si="46"/>
        <v>4.3139009816413589E-2</v>
      </c>
      <c r="AG220">
        <f t="shared" si="47"/>
        <v>4.3139009816413589E-2</v>
      </c>
      <c r="AI220" s="7">
        <f t="shared" si="48"/>
        <v>463.48837998870545</v>
      </c>
    </row>
    <row r="221" spans="1:35" x14ac:dyDescent="0.25">
      <c r="A221">
        <v>240.80199999999999</v>
      </c>
      <c r="B221">
        <v>7.7709999999999999</v>
      </c>
      <c r="C221">
        <v>79.182000000000002</v>
      </c>
      <c r="D221">
        <v>521.89200000000005</v>
      </c>
      <c r="E221">
        <v>350.43299999999999</v>
      </c>
      <c r="F221">
        <v>2.5579999999999998</v>
      </c>
      <c r="G221">
        <v>81.02</v>
      </c>
      <c r="H221">
        <v>79.474000000000004</v>
      </c>
      <c r="I221">
        <v>5.242</v>
      </c>
      <c r="J221">
        <v>8.2140000000000004</v>
      </c>
      <c r="K221">
        <v>54281.279999999999</v>
      </c>
      <c r="L221">
        <v>21.093</v>
      </c>
      <c r="N221">
        <v>282.32560499999994</v>
      </c>
      <c r="O221">
        <v>354.09365999999994</v>
      </c>
      <c r="P221">
        <v>912.70821599999999</v>
      </c>
      <c r="Q221">
        <v>715.8732839999999</v>
      </c>
      <c r="R221">
        <f t="shared" si="38"/>
        <v>1.7398027494389863</v>
      </c>
      <c r="S221">
        <v>1.6826433208879732</v>
      </c>
      <c r="T221">
        <v>71.768055000000004</v>
      </c>
      <c r="U221">
        <v>196.83493200000009</v>
      </c>
      <c r="V221">
        <v>558.61455599999999</v>
      </c>
      <c r="W221">
        <v>0.22388760847112638</v>
      </c>
      <c r="X221">
        <f t="shared" si="39"/>
        <v>0.67436013637145886</v>
      </c>
      <c r="Y221">
        <f t="shared" si="40"/>
        <v>1.7691690030361227</v>
      </c>
      <c r="AA221" s="3">
        <f t="shared" si="41"/>
        <v>725.26320566879531</v>
      </c>
      <c r="AB221" s="6">
        <f t="shared" si="42"/>
        <v>711.69510677106109</v>
      </c>
      <c r="AC221" s="3">
        <f t="shared" si="43"/>
        <v>706.84935716472739</v>
      </c>
      <c r="AD221">
        <f t="shared" si="44"/>
        <v>449.78372263384136</v>
      </c>
      <c r="AE221">
        <f t="shared" si="45"/>
        <v>1.2609341877634561</v>
      </c>
      <c r="AF221">
        <f t="shared" si="46"/>
        <v>4.3139009816413589E-2</v>
      </c>
      <c r="AG221">
        <f t="shared" si="47"/>
        <v>4.3139009816413589E-2</v>
      </c>
      <c r="AI221" s="7">
        <f t="shared" si="48"/>
        <v>470.87672263384138</v>
      </c>
    </row>
    <row r="222" spans="1:35" x14ac:dyDescent="0.25">
      <c r="A222">
        <v>241.80199999999999</v>
      </c>
      <c r="B222">
        <v>7.7380000000000004</v>
      </c>
      <c r="C222">
        <v>79.177000000000007</v>
      </c>
      <c r="D222">
        <v>521.35599999999999</v>
      </c>
      <c r="E222">
        <v>350.62099999999998</v>
      </c>
      <c r="F222">
        <v>2.585</v>
      </c>
      <c r="G222">
        <v>80.974000000000004</v>
      </c>
      <c r="H222">
        <v>79.552999999999997</v>
      </c>
      <c r="I222">
        <v>5.44</v>
      </c>
      <c r="J222">
        <v>8.1769999999999996</v>
      </c>
      <c r="K222">
        <v>54285.930999999997</v>
      </c>
      <c r="L222">
        <v>21.285</v>
      </c>
      <c r="N222">
        <v>282.29243999999994</v>
      </c>
      <c r="O222">
        <v>354.08863499999995</v>
      </c>
      <c r="P222">
        <v>912.0928879999999</v>
      </c>
      <c r="Q222">
        <v>716.0891079999999</v>
      </c>
      <c r="R222">
        <f t="shared" si="38"/>
        <v>1.7389263326577744</v>
      </c>
      <c r="S222">
        <v>1.680310262529833</v>
      </c>
      <c r="T222">
        <v>71.796195000000012</v>
      </c>
      <c r="U222">
        <v>196.00378000000001</v>
      </c>
      <c r="V222">
        <v>558.00425299999995</v>
      </c>
      <c r="W222">
        <v>0.22259254178121829</v>
      </c>
      <c r="X222">
        <f t="shared" si="39"/>
        <v>0.6733536096959547</v>
      </c>
      <c r="Y222">
        <f t="shared" si="40"/>
        <v>1.767300486718743</v>
      </c>
      <c r="AA222" s="3">
        <f t="shared" si="41"/>
        <v>724.94838887285289</v>
      </c>
      <c r="AB222" s="6">
        <f t="shared" si="42"/>
        <v>711.4232978203521</v>
      </c>
      <c r="AC222" s="3">
        <f t="shared" si="43"/>
        <v>706.59290815874465</v>
      </c>
      <c r="AD222">
        <f t="shared" si="44"/>
        <v>448.60859977883672</v>
      </c>
      <c r="AE222">
        <f t="shared" si="45"/>
        <v>1.2609341877634561</v>
      </c>
      <c r="AF222">
        <f t="shared" si="46"/>
        <v>4.3139009816413589E-2</v>
      </c>
      <c r="AG222">
        <f t="shared" si="47"/>
        <v>4.3139009816413589E-2</v>
      </c>
      <c r="AI222" s="7">
        <f t="shared" si="48"/>
        <v>469.89359977883669</v>
      </c>
    </row>
    <row r="223" spans="1:35" x14ac:dyDescent="0.25">
      <c r="A223">
        <v>242.80199999999999</v>
      </c>
      <c r="B223">
        <v>7.7389999999999999</v>
      </c>
      <c r="C223">
        <v>79.111000000000004</v>
      </c>
      <c r="D223">
        <v>521.053</v>
      </c>
      <c r="E223">
        <v>350.43799999999999</v>
      </c>
      <c r="F223">
        <v>2.5779999999999998</v>
      </c>
      <c r="G223">
        <v>81.448999999999998</v>
      </c>
      <c r="H223">
        <v>79.95</v>
      </c>
      <c r="I223">
        <v>5.33</v>
      </c>
      <c r="J223">
        <v>6.8140000000000001</v>
      </c>
      <c r="K223">
        <v>54301.983999999997</v>
      </c>
      <c r="L223">
        <v>21.449000000000002</v>
      </c>
      <c r="N223">
        <v>282.29344499999991</v>
      </c>
      <c r="O223">
        <v>354.0223049999999</v>
      </c>
      <c r="P223">
        <v>911.74504399999989</v>
      </c>
      <c r="Q223">
        <v>715.87902399999996</v>
      </c>
      <c r="R223">
        <f t="shared" si="38"/>
        <v>1.7435189200399706</v>
      </c>
      <c r="S223">
        <v>1.6856565285307359</v>
      </c>
      <c r="T223">
        <v>71.728859999999997</v>
      </c>
      <c r="U223">
        <v>195.86601999999993</v>
      </c>
      <c r="V223">
        <v>557.72273900000005</v>
      </c>
      <c r="W223">
        <v>0.22257862432250575</v>
      </c>
      <c r="X223">
        <f t="shared" si="39"/>
        <v>0.67746313795385515</v>
      </c>
      <c r="Y223">
        <f t="shared" si="40"/>
        <v>1.7566655495594632</v>
      </c>
      <c r="AA223" s="3">
        <f t="shared" si="41"/>
        <v>724.27346786406974</v>
      </c>
      <c r="AB223" s="6">
        <f t="shared" si="42"/>
        <v>710.67605883763883</v>
      </c>
      <c r="AC223" s="3">
        <f t="shared" si="43"/>
        <v>705.81984132819923</v>
      </c>
      <c r="AD223">
        <f t="shared" si="44"/>
        <v>447.16236770463905</v>
      </c>
      <c r="AE223">
        <f t="shared" si="45"/>
        <v>1.2609341877634561</v>
      </c>
      <c r="AF223">
        <f t="shared" si="46"/>
        <v>4.3139009816413589E-2</v>
      </c>
      <c r="AG223">
        <f t="shared" si="47"/>
        <v>4.3139009816413589E-2</v>
      </c>
      <c r="AI223" s="7">
        <f t="shared" si="48"/>
        <v>468.61136770463901</v>
      </c>
    </row>
    <row r="224" spans="1:35" x14ac:dyDescent="0.25">
      <c r="A224">
        <v>243.80199999999999</v>
      </c>
      <c r="B224">
        <v>7.7640000000000002</v>
      </c>
      <c r="C224">
        <v>79.122</v>
      </c>
      <c r="D224">
        <v>523.82600000000002</v>
      </c>
      <c r="E224">
        <v>350.60199999999998</v>
      </c>
      <c r="F224">
        <v>2.5880000000000001</v>
      </c>
      <c r="G224">
        <v>81.319999999999993</v>
      </c>
      <c r="H224">
        <v>79.957999999999998</v>
      </c>
      <c r="I224">
        <v>5.4059999999999997</v>
      </c>
      <c r="J224">
        <v>8.2140000000000004</v>
      </c>
      <c r="K224">
        <v>54331.131000000001</v>
      </c>
      <c r="L224">
        <v>21.152999999999999</v>
      </c>
      <c r="N224">
        <v>282.31856999999997</v>
      </c>
      <c r="O224">
        <v>354.03335999999996</v>
      </c>
      <c r="P224">
        <v>914.92844799999989</v>
      </c>
      <c r="Q224">
        <v>716.06729599999994</v>
      </c>
      <c r="R224">
        <f t="shared" si="38"/>
        <v>1.742138601915391</v>
      </c>
      <c r="S224">
        <v>1.6845536517730886</v>
      </c>
      <c r="T224">
        <v>71.714789999999994</v>
      </c>
      <c r="U224">
        <v>198.86115199999995</v>
      </c>
      <c r="V224">
        <v>560.89508799999999</v>
      </c>
      <c r="W224">
        <v>0.2266847485745854</v>
      </c>
      <c r="X224">
        <f t="shared" si="39"/>
        <v>0.67661232036617747</v>
      </c>
      <c r="Y224">
        <f t="shared" si="40"/>
        <v>1.779410644251548</v>
      </c>
      <c r="AA224" s="3">
        <f t="shared" si="41"/>
        <v>726.88465801386724</v>
      </c>
      <c r="AB224" s="6">
        <f t="shared" si="42"/>
        <v>713.25578596100809</v>
      </c>
      <c r="AC224" s="3">
        <f t="shared" si="43"/>
        <v>708.38833165641563</v>
      </c>
      <c r="AD224">
        <f t="shared" si="44"/>
        <v>453.3218421458144</v>
      </c>
      <c r="AE224">
        <f t="shared" si="45"/>
        <v>1.2609341877634561</v>
      </c>
      <c r="AF224">
        <f t="shared" si="46"/>
        <v>4.3139009816413589E-2</v>
      </c>
      <c r="AG224">
        <f t="shared" si="47"/>
        <v>4.3139009816413589E-2</v>
      </c>
      <c r="AI224" s="7">
        <f t="shared" si="48"/>
        <v>474.47484214581442</v>
      </c>
    </row>
    <row r="225" spans="1:35" x14ac:dyDescent="0.25">
      <c r="A225">
        <v>244.80199999999999</v>
      </c>
      <c r="B225">
        <v>7.5579999999999998</v>
      </c>
      <c r="C225">
        <v>79.183000000000007</v>
      </c>
      <c r="D225">
        <v>521.63</v>
      </c>
      <c r="E225">
        <v>350.85399999999998</v>
      </c>
      <c r="F225">
        <v>2.57</v>
      </c>
      <c r="G225">
        <v>80.960999999999999</v>
      </c>
      <c r="H225">
        <v>79.664000000000001</v>
      </c>
      <c r="I225">
        <v>5.37</v>
      </c>
      <c r="J225">
        <v>7.798</v>
      </c>
      <c r="K225">
        <v>54346.561999999998</v>
      </c>
      <c r="L225">
        <v>20.917000000000002</v>
      </c>
      <c r="N225">
        <v>282.11153999999993</v>
      </c>
      <c r="O225">
        <v>354.09466499999991</v>
      </c>
      <c r="P225">
        <v>912.40743999999995</v>
      </c>
      <c r="Q225">
        <v>716.35659199999986</v>
      </c>
      <c r="R225">
        <f t="shared" si="38"/>
        <v>1.7390496841708307</v>
      </c>
      <c r="S225">
        <v>1.682410214016717</v>
      </c>
      <c r="T225">
        <v>71.983124999999973</v>
      </c>
      <c r="U225">
        <v>196.05084800000009</v>
      </c>
      <c r="V225">
        <v>558.3127750000001</v>
      </c>
      <c r="W225">
        <v>0.22221902946784639</v>
      </c>
      <c r="X225">
        <f t="shared" si="39"/>
        <v>0.67126765508080988</v>
      </c>
      <c r="Y225">
        <f t="shared" si="40"/>
        <v>1.7631420625201377</v>
      </c>
      <c r="AA225" s="3">
        <f t="shared" si="41"/>
        <v>725.04159229378843</v>
      </c>
      <c r="AB225" s="6">
        <f t="shared" si="42"/>
        <v>711.48134635091401</v>
      </c>
      <c r="AC225" s="3">
        <f t="shared" si="43"/>
        <v>706.63840137131604</v>
      </c>
      <c r="AD225">
        <f t="shared" si="44"/>
        <v>448.16067121256719</v>
      </c>
      <c r="AE225">
        <f t="shared" si="45"/>
        <v>1.2609341877634561</v>
      </c>
      <c r="AF225">
        <f t="shared" si="46"/>
        <v>4.3139009816413589E-2</v>
      </c>
      <c r="AG225">
        <f t="shared" si="47"/>
        <v>4.3139009816413589E-2</v>
      </c>
      <c r="AI225" s="7">
        <f t="shared" si="48"/>
        <v>469.07767121256722</v>
      </c>
    </row>
    <row r="226" spans="1:35" x14ac:dyDescent="0.25">
      <c r="A226">
        <v>245.80199999999999</v>
      </c>
      <c r="B226">
        <v>7.5540000000000003</v>
      </c>
      <c r="C226">
        <v>79.347999999999999</v>
      </c>
      <c r="D226">
        <v>519.55399999999997</v>
      </c>
      <c r="E226">
        <v>350.78</v>
      </c>
      <c r="F226">
        <v>2.56</v>
      </c>
      <c r="G226">
        <v>81.203999999999994</v>
      </c>
      <c r="H226">
        <v>79.745000000000005</v>
      </c>
      <c r="I226">
        <v>5.4450000000000003</v>
      </c>
      <c r="J226">
        <v>7.5670000000000002</v>
      </c>
      <c r="K226">
        <v>54338.701000000001</v>
      </c>
      <c r="L226">
        <v>20.879000000000001</v>
      </c>
      <c r="N226">
        <v>282.10751999999991</v>
      </c>
      <c r="O226">
        <v>354.26048999999995</v>
      </c>
      <c r="P226">
        <v>910.02419199999986</v>
      </c>
      <c r="Q226">
        <v>716.27163999999993</v>
      </c>
      <c r="R226">
        <f t="shared" si="38"/>
        <v>1.7415048085989062</v>
      </c>
      <c r="S226">
        <v>1.6819955023176834</v>
      </c>
      <c r="T226">
        <v>72.152970000000039</v>
      </c>
      <c r="U226">
        <v>193.75255199999992</v>
      </c>
      <c r="V226">
        <v>555.76370199999997</v>
      </c>
      <c r="W226">
        <v>0.21879727222631731</v>
      </c>
      <c r="X226">
        <f t="shared" si="39"/>
        <v>0.67152424877112915</v>
      </c>
      <c r="Y226">
        <f t="shared" si="40"/>
        <v>1.747811789476035</v>
      </c>
      <c r="AA226" s="3">
        <f t="shared" si="41"/>
        <v>723.17861933162214</v>
      </c>
      <c r="AB226" s="6">
        <f t="shared" si="42"/>
        <v>709.65979531277094</v>
      </c>
      <c r="AC226" s="3">
        <f t="shared" si="43"/>
        <v>704.83164387746683</v>
      </c>
      <c r="AD226">
        <f t="shared" si="44"/>
        <v>443.66159405353329</v>
      </c>
      <c r="AE226">
        <f t="shared" si="45"/>
        <v>1.2609341877634561</v>
      </c>
      <c r="AF226">
        <f t="shared" si="46"/>
        <v>4.3139009816413589E-2</v>
      </c>
      <c r="AG226">
        <f t="shared" si="47"/>
        <v>4.3139009816413589E-2</v>
      </c>
      <c r="AI226" s="7">
        <f t="shared" si="48"/>
        <v>464.54059405353331</v>
      </c>
    </row>
    <row r="227" spans="1:35" x14ac:dyDescent="0.25">
      <c r="A227">
        <v>246.803</v>
      </c>
      <c r="B227">
        <v>7.6180000000000003</v>
      </c>
      <c r="C227">
        <v>79.353999999999999</v>
      </c>
      <c r="D227">
        <v>519.92499999999995</v>
      </c>
      <c r="E227">
        <v>350.59</v>
      </c>
      <c r="F227">
        <v>2.5760000000000001</v>
      </c>
      <c r="G227">
        <v>81.177999999999997</v>
      </c>
      <c r="H227">
        <v>79.837000000000003</v>
      </c>
      <c r="I227">
        <v>5.5670000000000002</v>
      </c>
      <c r="J227">
        <v>8.3469999999999995</v>
      </c>
      <c r="K227">
        <v>54339.525999999998</v>
      </c>
      <c r="L227">
        <v>21.087</v>
      </c>
      <c r="N227">
        <v>282.17183999999992</v>
      </c>
      <c r="O227">
        <v>354.2665199999999</v>
      </c>
      <c r="P227">
        <v>910.45009999999979</v>
      </c>
      <c r="Q227">
        <v>716.05351999999993</v>
      </c>
      <c r="R227">
        <f t="shared" si="38"/>
        <v>1.7409970210038086</v>
      </c>
      <c r="S227">
        <v>1.6809575765355238</v>
      </c>
      <c r="T227">
        <v>72.094679999999983</v>
      </c>
      <c r="U227">
        <v>194.39657999999986</v>
      </c>
      <c r="V227">
        <v>556.18357999999989</v>
      </c>
      <c r="W227">
        <v>0.2198948411961387</v>
      </c>
      <c r="X227">
        <f t="shared" si="39"/>
        <v>0.67183831654169601</v>
      </c>
      <c r="Y227">
        <f t="shared" si="40"/>
        <v>1.7547519789668224</v>
      </c>
      <c r="AA227" s="3">
        <f t="shared" si="41"/>
        <v>723.5944115969678</v>
      </c>
      <c r="AB227" s="6">
        <f t="shared" si="42"/>
        <v>710.08429718526702</v>
      </c>
      <c r="AC227" s="3">
        <f t="shared" si="43"/>
        <v>705.25925632394535</v>
      </c>
      <c r="AD227">
        <f t="shared" si="44"/>
        <v>445.24881396515036</v>
      </c>
      <c r="AE227">
        <f t="shared" si="45"/>
        <v>1.2609341877634561</v>
      </c>
      <c r="AF227">
        <f t="shared" si="46"/>
        <v>4.3139009816413589E-2</v>
      </c>
      <c r="AG227">
        <f t="shared" si="47"/>
        <v>4.3139009816413589E-2</v>
      </c>
      <c r="AI227" s="7">
        <f t="shared" si="48"/>
        <v>466.33581396515029</v>
      </c>
    </row>
    <row r="228" spans="1:35" x14ac:dyDescent="0.25">
      <c r="A228">
        <v>247.804</v>
      </c>
      <c r="B228">
        <v>7.6509999999999998</v>
      </c>
      <c r="C228">
        <v>79.287000000000006</v>
      </c>
      <c r="D228">
        <v>518.226</v>
      </c>
      <c r="E228">
        <v>350.48500000000001</v>
      </c>
      <c r="F228">
        <v>2.5670000000000002</v>
      </c>
      <c r="G228">
        <v>81.177999999999997</v>
      </c>
      <c r="H228">
        <v>79.844999999999999</v>
      </c>
      <c r="I228">
        <v>5.3879999999999999</v>
      </c>
      <c r="J228">
        <v>7.8739999999999997</v>
      </c>
      <c r="K228">
        <v>54351.576000000001</v>
      </c>
      <c r="L228">
        <v>21.274000000000001</v>
      </c>
      <c r="N228">
        <v>282.20500499999997</v>
      </c>
      <c r="O228">
        <v>354.199185</v>
      </c>
      <c r="P228">
        <v>908.49964799999987</v>
      </c>
      <c r="Q228">
        <v>715.93297999999993</v>
      </c>
      <c r="R228">
        <f t="shared" si="38"/>
        <v>1.7411447481308981</v>
      </c>
      <c r="S228">
        <v>1.6837943575049592</v>
      </c>
      <c r="T228">
        <v>71.994180000000028</v>
      </c>
      <c r="U228">
        <v>192.56666799999994</v>
      </c>
      <c r="V228">
        <v>554.30046299999981</v>
      </c>
      <c r="W228">
        <v>0.21752189660357535</v>
      </c>
      <c r="X228">
        <f t="shared" si="39"/>
        <v>0.67296658037292878</v>
      </c>
      <c r="Y228">
        <f t="shared" si="40"/>
        <v>1.7366864033277216</v>
      </c>
      <c r="AA228" s="3">
        <f t="shared" si="41"/>
        <v>721.8334966622748</v>
      </c>
      <c r="AB228" s="6">
        <f t="shared" si="42"/>
        <v>708.31134323549486</v>
      </c>
      <c r="AC228" s="3">
        <f t="shared" si="43"/>
        <v>703.48200272593067</v>
      </c>
      <c r="AD228">
        <f t="shared" si="44"/>
        <v>440.92730020797785</v>
      </c>
      <c r="AE228">
        <f t="shared" si="45"/>
        <v>1.2609341877634561</v>
      </c>
      <c r="AF228">
        <f t="shared" si="46"/>
        <v>4.3139009816413589E-2</v>
      </c>
      <c r="AG228">
        <f t="shared" si="47"/>
        <v>4.3139009816413589E-2</v>
      </c>
      <c r="AI228" s="7">
        <f t="shared" si="48"/>
        <v>462.20130020797785</v>
      </c>
    </row>
    <row r="229" spans="1:35" x14ac:dyDescent="0.25">
      <c r="A229">
        <v>248.804</v>
      </c>
      <c r="B229">
        <v>7.74</v>
      </c>
      <c r="C229">
        <v>79.200999999999993</v>
      </c>
      <c r="D229">
        <v>519.52599999999995</v>
      </c>
      <c r="E229">
        <v>349.94600000000003</v>
      </c>
      <c r="F229">
        <v>2.5720000000000001</v>
      </c>
      <c r="G229">
        <v>81.382999999999996</v>
      </c>
      <c r="H229">
        <v>79.98</v>
      </c>
      <c r="I229">
        <v>5.45</v>
      </c>
      <c r="J229">
        <v>7.9119999999999999</v>
      </c>
      <c r="K229">
        <v>54353.241999999998</v>
      </c>
      <c r="L229">
        <v>21.411000000000001</v>
      </c>
      <c r="N229">
        <v>282.29444999999998</v>
      </c>
      <c r="O229">
        <v>354.11275499999994</v>
      </c>
      <c r="P229">
        <v>909.99204799999984</v>
      </c>
      <c r="Q229">
        <v>715.31420799999989</v>
      </c>
      <c r="R229">
        <f t="shared" si="38"/>
        <v>1.7429953239309146</v>
      </c>
      <c r="S229">
        <v>1.6840752638825149</v>
      </c>
      <c r="T229">
        <v>71.818304999999953</v>
      </c>
      <c r="U229">
        <v>194.67783999999995</v>
      </c>
      <c r="V229">
        <v>555.87929299999996</v>
      </c>
      <c r="W229">
        <v>0.22101836954016563</v>
      </c>
      <c r="X229">
        <f t="shared" si="39"/>
        <v>0.67622644915618124</v>
      </c>
      <c r="Y229">
        <f t="shared" si="40"/>
        <v>1.7523215744418812</v>
      </c>
      <c r="AA229" s="3">
        <f t="shared" si="41"/>
        <v>722.99837816344382</v>
      </c>
      <c r="AB229" s="6">
        <f t="shared" si="42"/>
        <v>709.44995169522463</v>
      </c>
      <c r="AC229" s="3">
        <f t="shared" si="43"/>
        <v>704.61122795657491</v>
      </c>
      <c r="AD229">
        <f t="shared" si="44"/>
        <v>445.27370581725989</v>
      </c>
      <c r="AE229">
        <f t="shared" si="45"/>
        <v>1.2609341877634561</v>
      </c>
      <c r="AF229">
        <f t="shared" si="46"/>
        <v>4.3139009816413589E-2</v>
      </c>
      <c r="AG229">
        <f t="shared" si="47"/>
        <v>4.3139009816413589E-2</v>
      </c>
      <c r="AI229" s="7">
        <f t="shared" si="48"/>
        <v>466.6847058172599</v>
      </c>
    </row>
    <row r="230" spans="1:35" x14ac:dyDescent="0.25">
      <c r="A230">
        <v>249.804</v>
      </c>
      <c r="B230">
        <v>7.8220000000000001</v>
      </c>
      <c r="C230">
        <v>79.183999999999997</v>
      </c>
      <c r="D230">
        <v>520.01199999999994</v>
      </c>
      <c r="E230">
        <v>350.649</v>
      </c>
      <c r="F230">
        <v>2.5550000000000002</v>
      </c>
      <c r="G230">
        <v>80.944000000000003</v>
      </c>
      <c r="H230">
        <v>79.555000000000007</v>
      </c>
      <c r="I230">
        <v>5.391</v>
      </c>
      <c r="J230">
        <v>8.5920000000000005</v>
      </c>
      <c r="K230">
        <v>54374.165000000001</v>
      </c>
      <c r="L230">
        <v>21.673999999999999</v>
      </c>
      <c r="N230">
        <v>282.37685999999997</v>
      </c>
      <c r="O230">
        <v>354.09566999999993</v>
      </c>
      <c r="P230">
        <v>910.54997599999979</v>
      </c>
      <c r="Q230">
        <v>716.12125199999991</v>
      </c>
      <c r="R230">
        <f t="shared" si="38"/>
        <v>1.7391353542972987</v>
      </c>
      <c r="S230">
        <v>1.6810847544792498</v>
      </c>
      <c r="T230">
        <v>71.718809999999962</v>
      </c>
      <c r="U230">
        <v>194.42872399999987</v>
      </c>
      <c r="V230">
        <v>556.45430599999986</v>
      </c>
      <c r="W230">
        <v>0.22052109701888073</v>
      </c>
      <c r="X230">
        <f t="shared" si="39"/>
        <v>0.67444011613590849</v>
      </c>
      <c r="Y230">
        <f t="shared" si="40"/>
        <v>1.7546102579169649</v>
      </c>
      <c r="AA230" s="3">
        <f t="shared" si="41"/>
        <v>723.66430987207025</v>
      </c>
      <c r="AB230" s="6">
        <f t="shared" si="42"/>
        <v>710.15087012497281</v>
      </c>
      <c r="AC230" s="3">
        <f t="shared" si="43"/>
        <v>705.32464164386658</v>
      </c>
      <c r="AD230">
        <f t="shared" si="44"/>
        <v>445.26833910231886</v>
      </c>
      <c r="AE230">
        <f t="shared" si="45"/>
        <v>1.2609341877634561</v>
      </c>
      <c r="AF230">
        <f t="shared" si="46"/>
        <v>4.3139009816413589E-2</v>
      </c>
      <c r="AG230">
        <f t="shared" si="47"/>
        <v>4.3139009816413589E-2</v>
      </c>
      <c r="AI230" s="7">
        <f t="shared" si="48"/>
        <v>466.94233910231884</v>
      </c>
    </row>
    <row r="231" spans="1:35" x14ac:dyDescent="0.25">
      <c r="A231">
        <v>250.804</v>
      </c>
      <c r="B231">
        <v>7.92</v>
      </c>
      <c r="C231">
        <v>79.150999999999996</v>
      </c>
      <c r="D231">
        <v>520.20500000000004</v>
      </c>
      <c r="E231">
        <v>349.44200000000001</v>
      </c>
      <c r="F231">
        <v>2.5430000000000001</v>
      </c>
      <c r="G231">
        <v>80.710999999999999</v>
      </c>
      <c r="H231">
        <v>79.135000000000005</v>
      </c>
      <c r="I231">
        <v>5.444</v>
      </c>
      <c r="J231">
        <v>7.7229999999999999</v>
      </c>
      <c r="K231">
        <v>54365.81</v>
      </c>
      <c r="L231">
        <v>20.911999999999999</v>
      </c>
      <c r="N231">
        <v>282.47534999999993</v>
      </c>
      <c r="O231">
        <v>354.06250499999993</v>
      </c>
      <c r="P231">
        <v>910.77153999999996</v>
      </c>
      <c r="Q231">
        <v>714.73561599999994</v>
      </c>
      <c r="R231">
        <f t="shared" si="38"/>
        <v>1.7371349358279189</v>
      </c>
      <c r="S231">
        <v>1.676411734469085</v>
      </c>
      <c r="T231">
        <v>71.587154999999996</v>
      </c>
      <c r="U231">
        <v>196.03592400000002</v>
      </c>
      <c r="V231">
        <v>556.70903500000009</v>
      </c>
      <c r="W231">
        <v>0.22354364879312585</v>
      </c>
      <c r="X231">
        <f t="shared" si="39"/>
        <v>0.67439660748483221</v>
      </c>
      <c r="Y231">
        <f t="shared" si="40"/>
        <v>1.7776084343609875</v>
      </c>
      <c r="AA231" s="3">
        <f t="shared" si="41"/>
        <v>724.18939658397119</v>
      </c>
      <c r="AB231" s="6">
        <f t="shared" si="42"/>
        <v>710.7405292530766</v>
      </c>
      <c r="AC231" s="3">
        <f t="shared" si="43"/>
        <v>705.93736234918572</v>
      </c>
      <c r="AD231">
        <f t="shared" si="44"/>
        <v>449.87667550681476</v>
      </c>
      <c r="AE231">
        <f t="shared" si="45"/>
        <v>1.2609341877634561</v>
      </c>
      <c r="AF231">
        <f t="shared" si="46"/>
        <v>4.3139009816413589E-2</v>
      </c>
      <c r="AG231">
        <f t="shared" si="47"/>
        <v>4.3139009816413589E-2</v>
      </c>
      <c r="AI231" s="7">
        <f t="shared" si="48"/>
        <v>470.78867550681474</v>
      </c>
    </row>
    <row r="232" spans="1:35" x14ac:dyDescent="0.25">
      <c r="A232">
        <v>251.804</v>
      </c>
      <c r="B232">
        <v>7.923</v>
      </c>
      <c r="C232">
        <v>79.102000000000004</v>
      </c>
      <c r="D232">
        <v>518.61599999999999</v>
      </c>
      <c r="E232">
        <v>350.03699999999998</v>
      </c>
      <c r="F232">
        <v>2.544</v>
      </c>
      <c r="G232">
        <v>81.057000000000002</v>
      </c>
      <c r="H232">
        <v>79.66</v>
      </c>
      <c r="I232">
        <v>5.2720000000000002</v>
      </c>
      <c r="J232">
        <v>8.8569999999999993</v>
      </c>
      <c r="K232">
        <v>54336.38</v>
      </c>
      <c r="L232">
        <v>21.071000000000002</v>
      </c>
      <c r="N232">
        <v>282.47836499999994</v>
      </c>
      <c r="O232">
        <v>354.01325999999989</v>
      </c>
      <c r="P232">
        <v>908.94736799999987</v>
      </c>
      <c r="Q232">
        <v>715.41867599999978</v>
      </c>
      <c r="R232">
        <f t="shared" si="38"/>
        <v>1.7403813511372639</v>
      </c>
      <c r="S232">
        <v>1.6838892362004927</v>
      </c>
      <c r="T232">
        <v>71.534894999999949</v>
      </c>
      <c r="U232">
        <v>193.52869200000009</v>
      </c>
      <c r="V232">
        <v>554.93410799999992</v>
      </c>
      <c r="W232">
        <v>0.21983474297456621</v>
      </c>
      <c r="X232">
        <f t="shared" si="39"/>
        <v>0.67736369074042835</v>
      </c>
      <c r="Y232">
        <f t="shared" si="40"/>
        <v>1.744326202770154</v>
      </c>
      <c r="AA232" s="3">
        <f t="shared" si="41"/>
        <v>722.18218029515231</v>
      </c>
      <c r="AB232" s="6">
        <f t="shared" si="42"/>
        <v>708.65199313032076</v>
      </c>
      <c r="AC232" s="3">
        <f t="shared" si="43"/>
        <v>703.8197834285952</v>
      </c>
      <c r="AD232">
        <f t="shared" si="44"/>
        <v>442.97587318861588</v>
      </c>
      <c r="AE232">
        <f t="shared" si="45"/>
        <v>1.2609341877634561</v>
      </c>
      <c r="AF232">
        <f t="shared" si="46"/>
        <v>4.3139009816413589E-2</v>
      </c>
      <c r="AG232">
        <f t="shared" si="47"/>
        <v>4.3139009816413589E-2</v>
      </c>
      <c r="AI232" s="7">
        <f t="shared" si="48"/>
        <v>464.04687318861596</v>
      </c>
    </row>
    <row r="233" spans="1:35" x14ac:dyDescent="0.25">
      <c r="A233">
        <v>252.804</v>
      </c>
      <c r="B233">
        <v>7.98</v>
      </c>
      <c r="C233">
        <v>79.064999999999998</v>
      </c>
      <c r="D233">
        <v>519.56500000000005</v>
      </c>
      <c r="E233">
        <v>349.78199999999998</v>
      </c>
      <c r="F233">
        <v>2.577</v>
      </c>
      <c r="G233">
        <v>81.316000000000003</v>
      </c>
      <c r="H233">
        <v>79.757999999999996</v>
      </c>
      <c r="I233">
        <v>5.36</v>
      </c>
      <c r="J233">
        <v>8.5370000000000008</v>
      </c>
      <c r="K233">
        <v>54328.421999999999</v>
      </c>
      <c r="L233">
        <v>20.649000000000001</v>
      </c>
      <c r="N233">
        <v>282.53564999999998</v>
      </c>
      <c r="O233">
        <v>353.97607499999992</v>
      </c>
      <c r="P233">
        <v>910.03681999999992</v>
      </c>
      <c r="Q233">
        <v>715.12593599999991</v>
      </c>
      <c r="R233">
        <f t="shared" si="38"/>
        <v>1.74228155019467</v>
      </c>
      <c r="S233">
        <v>1.6834282564762078</v>
      </c>
      <c r="T233">
        <v>71.440424999999948</v>
      </c>
      <c r="U233">
        <v>194.91088400000001</v>
      </c>
      <c r="V233">
        <v>556.060745</v>
      </c>
      <c r="W233">
        <v>0.22204491165798812</v>
      </c>
      <c r="X233">
        <f t="shared" si="39"/>
        <v>0.67984173826601013</v>
      </c>
      <c r="Y233">
        <f t="shared" si="40"/>
        <v>1.7555448161243417</v>
      </c>
      <c r="AA233" s="3">
        <f t="shared" si="41"/>
        <v>723.08205250859191</v>
      </c>
      <c r="AB233" s="6">
        <f t="shared" si="42"/>
        <v>709.54231271859589</v>
      </c>
      <c r="AC233" s="3">
        <f t="shared" si="43"/>
        <v>704.70669136502579</v>
      </c>
      <c r="AD233">
        <f t="shared" si="44"/>
        <v>445.9341633042888</v>
      </c>
      <c r="AE233">
        <f t="shared" si="45"/>
        <v>1.2609341877634561</v>
      </c>
      <c r="AF233">
        <f t="shared" si="46"/>
        <v>4.3139009816413589E-2</v>
      </c>
      <c r="AG233">
        <f t="shared" si="47"/>
        <v>4.3139009816413589E-2</v>
      </c>
      <c r="AI233" s="7">
        <f t="shared" si="48"/>
        <v>466.5831633042888</v>
      </c>
    </row>
    <row r="234" spans="1:35" x14ac:dyDescent="0.25">
      <c r="A234">
        <v>253.804</v>
      </c>
      <c r="B234">
        <v>8.202</v>
      </c>
      <c r="C234">
        <v>79.103999999999999</v>
      </c>
      <c r="D234">
        <v>522.29600000000005</v>
      </c>
      <c r="E234">
        <v>349.798</v>
      </c>
      <c r="F234">
        <v>2.597</v>
      </c>
      <c r="G234">
        <v>81.135000000000005</v>
      </c>
      <c r="H234">
        <v>79.784999999999997</v>
      </c>
      <c r="I234">
        <v>5.4690000000000003</v>
      </c>
      <c r="J234">
        <v>8.9329999999999998</v>
      </c>
      <c r="K234">
        <v>54358.58</v>
      </c>
      <c r="L234">
        <v>20.867999999999999</v>
      </c>
      <c r="N234">
        <v>282.75875999999994</v>
      </c>
      <c r="O234">
        <v>354.01526999999993</v>
      </c>
      <c r="P234">
        <v>913.17200800000001</v>
      </c>
      <c r="Q234">
        <v>715.14430399999992</v>
      </c>
      <c r="R234">
        <f t="shared" si="38"/>
        <v>1.7402471323411595</v>
      </c>
      <c r="S234">
        <v>1.6819921262010298</v>
      </c>
      <c r="T234">
        <v>71.256509999999992</v>
      </c>
      <c r="U234">
        <v>198.02770400000009</v>
      </c>
      <c r="V234">
        <v>559.15673800000013</v>
      </c>
      <c r="W234">
        <v>0.22671853057415908</v>
      </c>
      <c r="X234">
        <f t="shared" si="39"/>
        <v>0.68058257285373891</v>
      </c>
      <c r="Y234">
        <f t="shared" si="40"/>
        <v>1.7802258476753801</v>
      </c>
      <c r="AA234" s="3">
        <f t="shared" si="41"/>
        <v>725.68038000174045</v>
      </c>
      <c r="AB234" s="6">
        <f t="shared" si="42"/>
        <v>712.11484277985664</v>
      </c>
      <c r="AC234" s="3">
        <f t="shared" si="43"/>
        <v>707.27000805775538</v>
      </c>
      <c r="AD234">
        <f t="shared" si="44"/>
        <v>452.46775688721829</v>
      </c>
      <c r="AE234">
        <f t="shared" si="45"/>
        <v>1.2609341877634561</v>
      </c>
      <c r="AF234">
        <f t="shared" si="46"/>
        <v>4.3139009816413589E-2</v>
      </c>
      <c r="AG234">
        <f t="shared" si="47"/>
        <v>4.3139009816413589E-2</v>
      </c>
      <c r="AI234" s="7">
        <f t="shared" si="48"/>
        <v>473.33575688721834</v>
      </c>
    </row>
    <row r="235" spans="1:35" x14ac:dyDescent="0.25">
      <c r="A235">
        <v>254.80500000000001</v>
      </c>
      <c r="B235">
        <v>8.2989999999999995</v>
      </c>
      <c r="C235">
        <v>79.156999999999996</v>
      </c>
      <c r="D235">
        <v>519.41899999999998</v>
      </c>
      <c r="E235">
        <v>349.91699999999997</v>
      </c>
      <c r="F235">
        <v>2.5529999999999999</v>
      </c>
      <c r="G235">
        <v>80.724999999999994</v>
      </c>
      <c r="H235">
        <v>79.480999999999995</v>
      </c>
      <c r="I235">
        <v>5.9169999999999998</v>
      </c>
      <c r="J235">
        <v>7.7220000000000004</v>
      </c>
      <c r="K235">
        <v>54367.137000000002</v>
      </c>
      <c r="L235">
        <v>21.17</v>
      </c>
      <c r="N235">
        <v>282.85624499999994</v>
      </c>
      <c r="O235">
        <v>354.06853499999994</v>
      </c>
      <c r="P235">
        <v>909.86921199999983</v>
      </c>
      <c r="Q235">
        <v>715.28091599999993</v>
      </c>
      <c r="R235">
        <f t="shared" si="38"/>
        <v>1.7371031465399376</v>
      </c>
      <c r="S235">
        <v>1.6723269693009313</v>
      </c>
      <c r="T235">
        <v>71.212289999999996</v>
      </c>
      <c r="U235">
        <v>194.5882959999999</v>
      </c>
      <c r="V235">
        <v>555.80067699999995</v>
      </c>
      <c r="W235">
        <v>0.22197886959392804</v>
      </c>
      <c r="X235">
        <f t="shared" si="39"/>
        <v>0.67883650290042918</v>
      </c>
      <c r="Y235">
        <f t="shared" si="40"/>
        <v>1.7740819566264319</v>
      </c>
      <c r="AA235" s="3">
        <f t="shared" si="41"/>
        <v>723.77767976580276</v>
      </c>
      <c r="AB235" s="6">
        <f t="shared" si="42"/>
        <v>710.40158972026438</v>
      </c>
      <c r="AC235" s="3">
        <f t="shared" si="43"/>
        <v>705.62441470400074</v>
      </c>
      <c r="AD235">
        <f t="shared" si="44"/>
        <v>447.79483918165806</v>
      </c>
      <c r="AE235">
        <f t="shared" si="45"/>
        <v>1.2609341877634561</v>
      </c>
      <c r="AF235">
        <f t="shared" si="46"/>
        <v>4.3139009816413589E-2</v>
      </c>
      <c r="AG235">
        <f t="shared" si="47"/>
        <v>4.3139009816413589E-2</v>
      </c>
      <c r="AI235" s="7">
        <f t="shared" si="48"/>
        <v>468.96483918165814</v>
      </c>
    </row>
    <row r="236" spans="1:35" x14ac:dyDescent="0.25">
      <c r="A236">
        <v>255.80500000000001</v>
      </c>
      <c r="B236">
        <v>8.1240000000000006</v>
      </c>
      <c r="C236">
        <v>79.186000000000007</v>
      </c>
      <c r="D236">
        <v>517.99699999999996</v>
      </c>
      <c r="E236">
        <v>349.94200000000001</v>
      </c>
      <c r="F236">
        <v>2.5680000000000001</v>
      </c>
      <c r="G236">
        <v>80.855999999999995</v>
      </c>
      <c r="H236">
        <v>79.468999999999994</v>
      </c>
      <c r="I236">
        <v>5.3280000000000003</v>
      </c>
      <c r="J236">
        <v>7.9109999999999996</v>
      </c>
      <c r="K236">
        <v>54360.512999999999</v>
      </c>
      <c r="L236">
        <v>21.872</v>
      </c>
      <c r="N236">
        <v>282.68036999999998</v>
      </c>
      <c r="O236">
        <v>354.09767999999997</v>
      </c>
      <c r="P236">
        <v>908.2367559999999</v>
      </c>
      <c r="Q236">
        <v>715.30961599999989</v>
      </c>
      <c r="R236">
        <f t="shared" si="38"/>
        <v>1.7380925444054758</v>
      </c>
      <c r="S236">
        <v>1.6812676884625279</v>
      </c>
      <c r="T236">
        <v>71.417309999999986</v>
      </c>
      <c r="U236">
        <v>192.92714000000001</v>
      </c>
      <c r="V236">
        <v>554.13907599999993</v>
      </c>
      <c r="W236">
        <v>0.21927677592619374</v>
      </c>
      <c r="X236">
        <f t="shared" si="39"/>
        <v>0.67722092255967559</v>
      </c>
      <c r="Y236">
        <f t="shared" si="40"/>
        <v>1.7451513022891416</v>
      </c>
      <c r="AA236" s="3">
        <f t="shared" si="41"/>
        <v>721.81226676438712</v>
      </c>
      <c r="AB236" s="6">
        <f t="shared" si="42"/>
        <v>708.33051307968458</v>
      </c>
      <c r="AC236" s="3">
        <f t="shared" si="43"/>
        <v>703.51560104943371</v>
      </c>
      <c r="AD236">
        <f t="shared" si="44"/>
        <v>442.38854645091777</v>
      </c>
      <c r="AE236">
        <f t="shared" si="45"/>
        <v>1.2609341877634561</v>
      </c>
      <c r="AF236">
        <f t="shared" si="46"/>
        <v>4.3139009816413589E-2</v>
      </c>
      <c r="AG236">
        <f t="shared" si="47"/>
        <v>4.3139009816413589E-2</v>
      </c>
      <c r="AI236" s="7">
        <f t="shared" si="48"/>
        <v>464.26054645091773</v>
      </c>
    </row>
    <row r="237" spans="1:35" x14ac:dyDescent="0.25">
      <c r="A237">
        <v>256.80500000000001</v>
      </c>
      <c r="B237">
        <v>7.9950000000000001</v>
      </c>
      <c r="C237">
        <v>79.265000000000001</v>
      </c>
      <c r="D237">
        <v>518.34299999999996</v>
      </c>
      <c r="E237">
        <v>350.30900000000003</v>
      </c>
      <c r="F237">
        <v>2.5680000000000001</v>
      </c>
      <c r="G237">
        <v>80.727000000000004</v>
      </c>
      <c r="H237">
        <v>79.334999999999994</v>
      </c>
      <c r="I237">
        <v>5.415</v>
      </c>
      <c r="J237">
        <v>7.798</v>
      </c>
      <c r="K237">
        <v>54324.775000000001</v>
      </c>
      <c r="L237">
        <v>21.23</v>
      </c>
      <c r="N237">
        <v>282.55072499999994</v>
      </c>
      <c r="O237">
        <v>354.17707499999995</v>
      </c>
      <c r="P237">
        <v>908.63396399999988</v>
      </c>
      <c r="Q237">
        <v>715.73093200000005</v>
      </c>
      <c r="R237">
        <f t="shared" si="38"/>
        <v>1.736876343477769</v>
      </c>
      <c r="S237">
        <v>1.6786943947114719</v>
      </c>
      <c r="T237">
        <v>71.626350000000002</v>
      </c>
      <c r="U237">
        <v>192.90303199999983</v>
      </c>
      <c r="V237">
        <v>554.45688899999993</v>
      </c>
      <c r="W237">
        <v>0.21873058916939497</v>
      </c>
      <c r="X237">
        <f t="shared" si="39"/>
        <v>0.67401095870981165</v>
      </c>
      <c r="Y237">
        <f t="shared" si="40"/>
        <v>1.7490004009597164</v>
      </c>
      <c r="AA237" s="3">
        <f t="shared" si="41"/>
        <v>722.31949956305721</v>
      </c>
      <c r="AB237" s="6">
        <f t="shared" si="42"/>
        <v>708.86909670031832</v>
      </c>
      <c r="AC237" s="3">
        <f t="shared" si="43"/>
        <v>704.06538139219731</v>
      </c>
      <c r="AD237">
        <f t="shared" si="44"/>
        <v>442.83358276437292</v>
      </c>
      <c r="AE237">
        <f t="shared" si="45"/>
        <v>1.2609341877634561</v>
      </c>
      <c r="AF237">
        <f t="shared" si="46"/>
        <v>4.3139009816413589E-2</v>
      </c>
      <c r="AG237">
        <f t="shared" si="47"/>
        <v>4.3139009816413589E-2</v>
      </c>
      <c r="AI237" s="7">
        <f t="shared" si="48"/>
        <v>464.06358276437294</v>
      </c>
    </row>
    <row r="238" spans="1:35" x14ac:dyDescent="0.25">
      <c r="A238">
        <v>257.80500000000001</v>
      </c>
      <c r="B238">
        <v>7.9390000000000001</v>
      </c>
      <c r="C238">
        <v>79.183999999999997</v>
      </c>
      <c r="D238">
        <v>516.48900000000003</v>
      </c>
      <c r="E238">
        <v>349.40199999999999</v>
      </c>
      <c r="F238">
        <v>2.5350000000000001</v>
      </c>
      <c r="G238">
        <v>80.539000000000001</v>
      </c>
      <c r="H238">
        <v>79.103999999999999</v>
      </c>
      <c r="I238">
        <v>5.2880000000000003</v>
      </c>
      <c r="J238">
        <v>7.343</v>
      </c>
      <c r="K238">
        <v>54276.962</v>
      </c>
      <c r="L238">
        <v>21.344999999999999</v>
      </c>
      <c r="N238">
        <v>282.49444499999998</v>
      </c>
      <c r="O238">
        <v>354.09566999999993</v>
      </c>
      <c r="P238">
        <v>906.50557199999992</v>
      </c>
      <c r="Q238">
        <v>714.6896959999998</v>
      </c>
      <c r="R238">
        <f t="shared" si="38"/>
        <v>1.7356438911680105</v>
      </c>
      <c r="S238">
        <v>1.678530720300033</v>
      </c>
      <c r="T238">
        <v>71.601224999999943</v>
      </c>
      <c r="U238">
        <v>191.81587600000012</v>
      </c>
      <c r="V238">
        <v>552.40990199999999</v>
      </c>
      <c r="W238">
        <v>0.21761856651150358</v>
      </c>
      <c r="X238">
        <f t="shared" si="39"/>
        <v>0.67317638896028675</v>
      </c>
      <c r="Y238">
        <f t="shared" si="40"/>
        <v>1.7435342074544067</v>
      </c>
      <c r="AA238" s="3">
        <f t="shared" si="41"/>
        <v>720.63969990846681</v>
      </c>
      <c r="AB238" s="6">
        <f t="shared" si="42"/>
        <v>707.2231693351132</v>
      </c>
      <c r="AC238" s="3">
        <f t="shared" si="43"/>
        <v>702.43155127320119</v>
      </c>
      <c r="AD238">
        <f t="shared" si="44"/>
        <v>440.91382921543766</v>
      </c>
      <c r="AE238">
        <f t="shared" si="45"/>
        <v>1.2609341877634561</v>
      </c>
      <c r="AF238">
        <f t="shared" si="46"/>
        <v>4.3139009816413589E-2</v>
      </c>
      <c r="AG238">
        <f t="shared" si="47"/>
        <v>4.3139009816413589E-2</v>
      </c>
      <c r="AI238" s="7">
        <f t="shared" si="48"/>
        <v>462.25882921543769</v>
      </c>
    </row>
    <row r="239" spans="1:35" x14ac:dyDescent="0.25">
      <c r="A239">
        <v>258.80599999999998</v>
      </c>
      <c r="B239">
        <v>7.7839999999999998</v>
      </c>
      <c r="C239">
        <v>79.055999999999997</v>
      </c>
      <c r="D239">
        <v>515.08699999999999</v>
      </c>
      <c r="E239">
        <v>349.76900000000001</v>
      </c>
      <c r="F239">
        <v>2.5470000000000002</v>
      </c>
      <c r="G239">
        <v>81.161000000000001</v>
      </c>
      <c r="H239">
        <v>79.635999999999996</v>
      </c>
      <c r="I239">
        <v>5.4169999999999998</v>
      </c>
      <c r="J239">
        <v>6.7759999999999998</v>
      </c>
      <c r="K239">
        <v>54251.396999999997</v>
      </c>
      <c r="L239">
        <v>21.015999999999998</v>
      </c>
      <c r="N239">
        <v>282.33866999999992</v>
      </c>
      <c r="O239">
        <v>353.96702999999991</v>
      </c>
      <c r="P239">
        <v>904.89607599999988</v>
      </c>
      <c r="Q239">
        <v>715.11101199999996</v>
      </c>
      <c r="R239">
        <f t="shared" si="38"/>
        <v>1.7413128141295842</v>
      </c>
      <c r="S239">
        <v>1.6814271417685025</v>
      </c>
      <c r="T239">
        <v>71.628359999999986</v>
      </c>
      <c r="U239">
        <v>189.78506399999992</v>
      </c>
      <c r="V239">
        <v>550.92904599999997</v>
      </c>
      <c r="W239">
        <v>0.2144680968590644</v>
      </c>
      <c r="X239">
        <f t="shared" si="39"/>
        <v>0.67685129420192935</v>
      </c>
      <c r="Y239">
        <f t="shared" si="40"/>
        <v>1.7227724758544809</v>
      </c>
      <c r="AA239" s="3">
        <f t="shared" si="41"/>
        <v>719.14548520727453</v>
      </c>
      <c r="AB239" s="6">
        <f t="shared" si="42"/>
        <v>705.71102399757797</v>
      </c>
      <c r="AC239" s="3">
        <f t="shared" si="43"/>
        <v>700.91300213697207</v>
      </c>
      <c r="AD239">
        <f t="shared" si="44"/>
        <v>435.99367781934529</v>
      </c>
      <c r="AE239">
        <f t="shared" si="45"/>
        <v>1.2609341877634561</v>
      </c>
      <c r="AF239">
        <f t="shared" si="46"/>
        <v>4.3139009816413589E-2</v>
      </c>
      <c r="AG239">
        <f t="shared" si="47"/>
        <v>4.3139009816413589E-2</v>
      </c>
      <c r="AI239" s="7">
        <f t="shared" si="48"/>
        <v>457.00967781934531</v>
      </c>
    </row>
    <row r="240" spans="1:35" x14ac:dyDescent="0.25">
      <c r="A240">
        <v>259.80500000000001</v>
      </c>
      <c r="B240">
        <v>7.6669999999999998</v>
      </c>
      <c r="C240">
        <v>79.007000000000005</v>
      </c>
      <c r="D240">
        <v>516.14499999999998</v>
      </c>
      <c r="E240">
        <v>349.71300000000002</v>
      </c>
      <c r="F240">
        <v>2.532</v>
      </c>
      <c r="G240">
        <v>81.076999999999998</v>
      </c>
      <c r="H240">
        <v>79.593999999999994</v>
      </c>
      <c r="I240">
        <v>5.3079999999999998</v>
      </c>
      <c r="J240">
        <v>7.6660000000000004</v>
      </c>
      <c r="K240">
        <v>54261.79</v>
      </c>
      <c r="L240">
        <v>20.423999999999999</v>
      </c>
      <c r="N240">
        <v>282.2210849999999</v>
      </c>
      <c r="O240">
        <v>353.91778499999992</v>
      </c>
      <c r="P240">
        <v>906.11065999999983</v>
      </c>
      <c r="Q240">
        <v>715.04672400000004</v>
      </c>
      <c r="R240">
        <f t="shared" si="38"/>
        <v>1.7407669382827826</v>
      </c>
      <c r="S240">
        <v>1.6827255348871406</v>
      </c>
      <c r="T240">
        <v>71.696700000000021</v>
      </c>
      <c r="U240">
        <v>191.06393599999979</v>
      </c>
      <c r="V240">
        <v>552.19287499999996</v>
      </c>
      <c r="W240">
        <v>0.21616946071605828</v>
      </c>
      <c r="X240">
        <f t="shared" si="39"/>
        <v>0.67551136156574421</v>
      </c>
      <c r="Y240">
        <f t="shared" si="40"/>
        <v>1.7296506927304665</v>
      </c>
      <c r="AA240" s="3">
        <f t="shared" si="41"/>
        <v>720.01451434839601</v>
      </c>
      <c r="AB240" s="6">
        <f t="shared" si="42"/>
        <v>706.54330880502857</v>
      </c>
      <c r="AC240" s="3">
        <f t="shared" si="43"/>
        <v>701.73216396811154</v>
      </c>
      <c r="AD240">
        <f t="shared" si="44"/>
        <v>438.32634989964436</v>
      </c>
      <c r="AE240">
        <f t="shared" si="45"/>
        <v>1.2609341877634561</v>
      </c>
      <c r="AF240">
        <f t="shared" si="46"/>
        <v>4.3139009816413589E-2</v>
      </c>
      <c r="AG240">
        <f t="shared" si="47"/>
        <v>4.3139009816413589E-2</v>
      </c>
      <c r="AI240" s="7">
        <f t="shared" si="48"/>
        <v>458.75034989964433</v>
      </c>
    </row>
    <row r="241" spans="1:35" x14ac:dyDescent="0.25">
      <c r="A241">
        <v>260.80500000000001</v>
      </c>
      <c r="B241">
        <v>7.62</v>
      </c>
      <c r="C241">
        <v>78.992000000000004</v>
      </c>
      <c r="D241">
        <v>514.96900000000005</v>
      </c>
      <c r="E241">
        <v>349.19900000000001</v>
      </c>
      <c r="F241">
        <v>2.5510000000000002</v>
      </c>
      <c r="G241">
        <v>80.832999999999998</v>
      </c>
      <c r="H241">
        <v>79.343999999999994</v>
      </c>
      <c r="I241">
        <v>5.3419999999999996</v>
      </c>
      <c r="J241">
        <v>7.343</v>
      </c>
      <c r="K241">
        <v>54261.644</v>
      </c>
      <c r="L241">
        <v>21.63</v>
      </c>
      <c r="N241">
        <v>282.17384999999996</v>
      </c>
      <c r="O241">
        <v>353.90270999999996</v>
      </c>
      <c r="P241">
        <v>904.76061199999992</v>
      </c>
      <c r="Q241">
        <v>714.45665199999985</v>
      </c>
      <c r="R241">
        <f t="shared" si="38"/>
        <v>1.7381542842594599</v>
      </c>
      <c r="S241">
        <v>1.6799029786295732</v>
      </c>
      <c r="T241">
        <v>71.728859999999997</v>
      </c>
      <c r="U241">
        <v>190.30396000000007</v>
      </c>
      <c r="V241">
        <v>550.85790199999997</v>
      </c>
      <c r="W241">
        <v>0.21525533094739935</v>
      </c>
      <c r="X241">
        <f t="shared" si="39"/>
        <v>0.67311800409626887</v>
      </c>
      <c r="Y241">
        <f t="shared" si="40"/>
        <v>1.7305701168323002</v>
      </c>
      <c r="AA241" s="3">
        <f t="shared" si="41"/>
        <v>719.15074564318104</v>
      </c>
      <c r="AB241" s="6">
        <f t="shared" si="42"/>
        <v>705.74025174046619</v>
      </c>
      <c r="AC241" s="3">
        <f t="shared" si="43"/>
        <v>700.9507896323538</v>
      </c>
      <c r="AD241">
        <f t="shared" si="44"/>
        <v>437.56863918259785</v>
      </c>
      <c r="AE241">
        <f t="shared" si="45"/>
        <v>1.2609341877634561</v>
      </c>
      <c r="AF241">
        <f t="shared" si="46"/>
        <v>4.3139009816413589E-2</v>
      </c>
      <c r="AG241">
        <f t="shared" si="47"/>
        <v>4.3139009816413589E-2</v>
      </c>
      <c r="AI241" s="7">
        <f t="shared" si="48"/>
        <v>459.19863918259784</v>
      </c>
    </row>
    <row r="242" spans="1:35" x14ac:dyDescent="0.25">
      <c r="A242">
        <v>261.80599999999998</v>
      </c>
      <c r="B242">
        <v>7.5830000000000002</v>
      </c>
      <c r="C242">
        <v>78.909000000000006</v>
      </c>
      <c r="D242">
        <v>513.62699999999995</v>
      </c>
      <c r="E242">
        <v>349.24400000000003</v>
      </c>
      <c r="F242">
        <v>2.5230000000000001</v>
      </c>
      <c r="G242">
        <v>80.712999999999994</v>
      </c>
      <c r="H242">
        <v>79.28</v>
      </c>
      <c r="I242">
        <v>5.3659999999999997</v>
      </c>
      <c r="J242">
        <v>6.8890000000000002</v>
      </c>
      <c r="K242">
        <v>54263.108</v>
      </c>
      <c r="L242">
        <v>21.832999999999998</v>
      </c>
      <c r="N242">
        <v>282.13666499999999</v>
      </c>
      <c r="O242">
        <v>353.81929499999995</v>
      </c>
      <c r="P242">
        <v>903.21999599999981</v>
      </c>
      <c r="Q242">
        <v>714.50831199999993</v>
      </c>
      <c r="R242">
        <f t="shared" si="38"/>
        <v>1.7374814898654065</v>
      </c>
      <c r="S242">
        <v>1.678944757775614</v>
      </c>
      <c r="T242">
        <v>71.682629999999961</v>
      </c>
      <c r="U242">
        <v>188.71168399999988</v>
      </c>
      <c r="V242">
        <v>549.4007009999998</v>
      </c>
      <c r="W242">
        <v>0.21301220363750492</v>
      </c>
      <c r="X242">
        <f t="shared" si="39"/>
        <v>0.67295352104233308</v>
      </c>
      <c r="Y242">
        <f t="shared" si="40"/>
        <v>1.7207903954235892</v>
      </c>
      <c r="AA242" s="3">
        <f t="shared" si="41"/>
        <v>717.99711819988943</v>
      </c>
      <c r="AB242" s="6">
        <f t="shared" si="42"/>
        <v>704.62325229431235</v>
      </c>
      <c r="AC242" s="3">
        <f t="shared" si="43"/>
        <v>699.84687161374904</v>
      </c>
      <c r="AD242">
        <f t="shared" si="44"/>
        <v>434.50933622620948</v>
      </c>
      <c r="AE242">
        <f t="shared" si="45"/>
        <v>1.2609341877634561</v>
      </c>
      <c r="AF242">
        <f t="shared" si="46"/>
        <v>4.3139009816413589E-2</v>
      </c>
      <c r="AG242">
        <f t="shared" si="47"/>
        <v>4.3139009816413589E-2</v>
      </c>
      <c r="AI242" s="7">
        <f t="shared" si="48"/>
        <v>456.34233622620957</v>
      </c>
    </row>
    <row r="243" spans="1:35" x14ac:dyDescent="0.25">
      <c r="A243">
        <v>262.80599999999998</v>
      </c>
      <c r="B243">
        <v>7.5419999999999998</v>
      </c>
      <c r="C243">
        <v>78.837000000000003</v>
      </c>
      <c r="D243">
        <v>513.70000000000005</v>
      </c>
      <c r="E243">
        <v>349.45800000000003</v>
      </c>
      <c r="F243">
        <v>2.5539999999999998</v>
      </c>
      <c r="G243">
        <v>81.131</v>
      </c>
      <c r="H243">
        <v>79.781999999999996</v>
      </c>
      <c r="I243">
        <v>5.4359999999999999</v>
      </c>
      <c r="J243">
        <v>6.4729999999999999</v>
      </c>
      <c r="K243">
        <v>54253.767</v>
      </c>
      <c r="L243">
        <v>20.774999999999999</v>
      </c>
      <c r="N243">
        <v>282.09545999999995</v>
      </c>
      <c r="O243">
        <v>353.74693499999995</v>
      </c>
      <c r="P243">
        <v>903.30379999999991</v>
      </c>
      <c r="Q243">
        <v>714.75398399999983</v>
      </c>
      <c r="R243">
        <f t="shared" si="38"/>
        <v>1.7409150055632037</v>
      </c>
      <c r="S243">
        <v>1.6824741132408016</v>
      </c>
      <c r="T243">
        <v>71.651475000000005</v>
      </c>
      <c r="U243">
        <v>188.54981600000008</v>
      </c>
      <c r="V243">
        <v>549.55686500000002</v>
      </c>
      <c r="W243">
        <v>0.21271382170796843</v>
      </c>
      <c r="X243">
        <f t="shared" si="39"/>
        <v>0.67574894733170432</v>
      </c>
      <c r="Y243">
        <f t="shared" si="40"/>
        <v>1.7126553885121587</v>
      </c>
      <c r="AA243" s="3">
        <f t="shared" si="41"/>
        <v>717.80269439888229</v>
      </c>
      <c r="AB243" s="6">
        <f t="shared" si="42"/>
        <v>704.37682942088713</v>
      </c>
      <c r="AC243" s="3">
        <f t="shared" si="43"/>
        <v>699.58187764303182</v>
      </c>
      <c r="AD243">
        <f t="shared" si="44"/>
        <v>433.29116348058267</v>
      </c>
      <c r="AE243">
        <f t="shared" si="45"/>
        <v>1.2609341877634561</v>
      </c>
      <c r="AF243">
        <f t="shared" si="46"/>
        <v>4.3139009816413589E-2</v>
      </c>
      <c r="AG243">
        <f t="shared" si="47"/>
        <v>4.3139009816413589E-2</v>
      </c>
      <c r="AI243" s="7">
        <f t="shared" si="48"/>
        <v>454.0661634805827</v>
      </c>
    </row>
    <row r="244" spans="1:35" x14ac:dyDescent="0.25">
      <c r="A244">
        <v>263.80599999999998</v>
      </c>
      <c r="B244">
        <v>7.6470000000000002</v>
      </c>
      <c r="C244">
        <v>78.909000000000006</v>
      </c>
      <c r="D244">
        <v>514.20000000000005</v>
      </c>
      <c r="E244">
        <v>348.76299999999998</v>
      </c>
      <c r="F244">
        <v>2.5409999999999999</v>
      </c>
      <c r="G244">
        <v>80.960999999999999</v>
      </c>
      <c r="H244">
        <v>79.635000000000005</v>
      </c>
      <c r="I244">
        <v>5.4059999999999997</v>
      </c>
      <c r="J244">
        <v>7.532</v>
      </c>
      <c r="K244">
        <v>54253.637000000002</v>
      </c>
      <c r="L244">
        <v>21.263000000000002</v>
      </c>
      <c r="N244">
        <v>282.20098499999995</v>
      </c>
      <c r="O244">
        <v>353.81929499999995</v>
      </c>
      <c r="P244">
        <v>903.87779999999998</v>
      </c>
      <c r="Q244">
        <v>713.95612399999993</v>
      </c>
      <c r="R244">
        <f t="shared" si="38"/>
        <v>1.7395252779585257</v>
      </c>
      <c r="S244">
        <v>1.681587791306264</v>
      </c>
      <c r="T244">
        <v>71.618310000000008</v>
      </c>
      <c r="U244">
        <v>189.92167600000005</v>
      </c>
      <c r="V244">
        <v>550.05850499999997</v>
      </c>
      <c r="W244">
        <v>0.21507415106689431</v>
      </c>
      <c r="X244">
        <f t="shared" si="39"/>
        <v>0.67526151034188842</v>
      </c>
      <c r="Y244">
        <f t="shared" si="40"/>
        <v>1.7256576605521077</v>
      </c>
      <c r="AA244" s="3">
        <f t="shared" si="41"/>
        <v>718.32435098344456</v>
      </c>
      <c r="AB244" s="6">
        <f t="shared" si="42"/>
        <v>704.9026970080032</v>
      </c>
      <c r="AC244" s="3">
        <f t="shared" si="43"/>
        <v>700.1092491596313</v>
      </c>
      <c r="AD244">
        <f t="shared" si="44"/>
        <v>436.5138535377489</v>
      </c>
      <c r="AE244">
        <f t="shared" si="45"/>
        <v>1.2609341877634561</v>
      </c>
      <c r="AF244">
        <f t="shared" si="46"/>
        <v>4.3139009816413589E-2</v>
      </c>
      <c r="AG244">
        <f t="shared" si="47"/>
        <v>4.3139009816413589E-2</v>
      </c>
      <c r="AI244" s="7">
        <f t="shared" si="48"/>
        <v>457.77685353774888</v>
      </c>
    </row>
    <row r="245" spans="1:35" x14ac:dyDescent="0.25">
      <c r="A245">
        <v>264.80599999999998</v>
      </c>
      <c r="B245">
        <v>7.6639999999999997</v>
      </c>
      <c r="C245">
        <v>78.983999999999995</v>
      </c>
      <c r="D245">
        <v>515.54300000000001</v>
      </c>
      <c r="E245">
        <v>348.86900000000003</v>
      </c>
      <c r="F245">
        <v>2.5619999999999998</v>
      </c>
      <c r="G245">
        <v>80.793000000000006</v>
      </c>
      <c r="H245">
        <v>79.507000000000005</v>
      </c>
      <c r="I245">
        <v>5.5780000000000003</v>
      </c>
      <c r="J245">
        <v>7.9109999999999996</v>
      </c>
      <c r="K245">
        <v>54255.87</v>
      </c>
      <c r="L245">
        <v>20.863</v>
      </c>
      <c r="N245">
        <v>282.21806999999995</v>
      </c>
      <c r="O245">
        <v>353.89466999999991</v>
      </c>
      <c r="P245">
        <v>905.41956399999992</v>
      </c>
      <c r="Q245">
        <v>714.07781199999999</v>
      </c>
      <c r="R245">
        <f t="shared" si="38"/>
        <v>1.7375968772981842</v>
      </c>
      <c r="S245">
        <v>1.6777627019197272</v>
      </c>
      <c r="T245">
        <v>71.676599999999951</v>
      </c>
      <c r="U245">
        <v>191.34175199999993</v>
      </c>
      <c r="V245">
        <v>551.52489400000002</v>
      </c>
      <c r="W245">
        <v>0.21697144281577974</v>
      </c>
      <c r="X245">
        <f t="shared" si="39"/>
        <v>0.67329180052429694</v>
      </c>
      <c r="Y245">
        <f t="shared" si="40"/>
        <v>1.7427533058306621</v>
      </c>
      <c r="AA245" s="3">
        <f t="shared" si="41"/>
        <v>719.83340891587864</v>
      </c>
      <c r="AB245" s="6">
        <f t="shared" si="42"/>
        <v>706.44404398285508</v>
      </c>
      <c r="AC245" s="3">
        <f t="shared" si="43"/>
        <v>701.66212793534669</v>
      </c>
      <c r="AD245">
        <f t="shared" si="44"/>
        <v>440.27253035436502</v>
      </c>
      <c r="AE245">
        <f t="shared" si="45"/>
        <v>1.2609341877634561</v>
      </c>
      <c r="AF245">
        <f t="shared" si="46"/>
        <v>4.3139009816413589E-2</v>
      </c>
      <c r="AG245">
        <f t="shared" si="47"/>
        <v>4.3139009816413589E-2</v>
      </c>
      <c r="AI245" s="7">
        <f t="shared" si="48"/>
        <v>461.13553035436507</v>
      </c>
    </row>
    <row r="246" spans="1:35" x14ac:dyDescent="0.25">
      <c r="A246">
        <v>265.80599999999998</v>
      </c>
      <c r="B246">
        <v>7.6630000000000003</v>
      </c>
      <c r="C246">
        <v>79.09</v>
      </c>
      <c r="D246">
        <v>516.72799999999995</v>
      </c>
      <c r="E246">
        <v>349.33</v>
      </c>
      <c r="F246">
        <v>2.5310000000000001</v>
      </c>
      <c r="G246">
        <v>81.224000000000004</v>
      </c>
      <c r="H246">
        <v>79.787999999999997</v>
      </c>
      <c r="I246">
        <v>5.3819999999999997</v>
      </c>
      <c r="J246">
        <v>7.1550000000000002</v>
      </c>
      <c r="K246">
        <v>54261.942999999999</v>
      </c>
      <c r="L246">
        <v>21.010999999999999</v>
      </c>
      <c r="N246">
        <v>282.21706499999993</v>
      </c>
      <c r="O246">
        <v>354.00119999999998</v>
      </c>
      <c r="P246">
        <v>906.77994399999989</v>
      </c>
      <c r="Q246">
        <v>714.60703999999998</v>
      </c>
      <c r="R246">
        <f t="shared" si="38"/>
        <v>1.7421697428110645</v>
      </c>
      <c r="S246">
        <v>1.6833636413732298</v>
      </c>
      <c r="T246">
        <v>71.784135000000049</v>
      </c>
      <c r="U246">
        <v>192.1729039999999</v>
      </c>
      <c r="V246">
        <v>552.77874399999996</v>
      </c>
      <c r="W246">
        <v>0.21778834715829787</v>
      </c>
      <c r="X246">
        <f t="shared" si="39"/>
        <v>0.6757391933848852</v>
      </c>
      <c r="Y246">
        <f t="shared" si="40"/>
        <v>1.7372207623216787</v>
      </c>
      <c r="AA246" s="3">
        <f t="shared" si="41"/>
        <v>720.49904562984591</v>
      </c>
      <c r="AB246" s="6">
        <f t="shared" si="42"/>
        <v>707.00869339120482</v>
      </c>
      <c r="AC246" s="3">
        <f t="shared" si="43"/>
        <v>702.19071044883299</v>
      </c>
      <c r="AD246">
        <f t="shared" si="44"/>
        <v>440.54271078546537</v>
      </c>
      <c r="AE246">
        <f t="shared" si="45"/>
        <v>1.2609341877634561</v>
      </c>
      <c r="AF246">
        <f t="shared" si="46"/>
        <v>4.3139009816413589E-2</v>
      </c>
      <c r="AG246">
        <f t="shared" si="47"/>
        <v>4.3139009816413589E-2</v>
      </c>
      <c r="AI246" s="7">
        <f t="shared" si="48"/>
        <v>461.5537107854654</v>
      </c>
    </row>
    <row r="247" spans="1:35" x14ac:dyDescent="0.25">
      <c r="A247">
        <v>266.80599999999998</v>
      </c>
      <c r="B247">
        <v>7.7539999999999996</v>
      </c>
      <c r="C247">
        <v>79.111999999999995</v>
      </c>
      <c r="D247">
        <v>515.56100000000004</v>
      </c>
      <c r="E247">
        <v>349.11099999999999</v>
      </c>
      <c r="F247">
        <v>2.5270000000000001</v>
      </c>
      <c r="G247">
        <v>80.855999999999995</v>
      </c>
      <c r="H247">
        <v>79.575999999999993</v>
      </c>
      <c r="I247">
        <v>5.3239999999999998</v>
      </c>
      <c r="J247">
        <v>7.4909999999999997</v>
      </c>
      <c r="K247">
        <v>54279.468999999997</v>
      </c>
      <c r="L247">
        <v>21.806000000000001</v>
      </c>
      <c r="N247">
        <v>282.30851999999999</v>
      </c>
      <c r="O247">
        <v>354.02330999999992</v>
      </c>
      <c r="P247">
        <v>905.44022799999993</v>
      </c>
      <c r="Q247">
        <v>714.35562799999991</v>
      </c>
      <c r="R247">
        <f t="shared" si="38"/>
        <v>1.7387646542861723</v>
      </c>
      <c r="S247">
        <v>1.6823127251341616</v>
      </c>
      <c r="T247">
        <v>71.714789999999937</v>
      </c>
      <c r="U247">
        <v>191.08460000000002</v>
      </c>
      <c r="V247">
        <v>551.41691800000001</v>
      </c>
      <c r="W247">
        <v>0.21647832357584662</v>
      </c>
      <c r="X247">
        <f t="shared" si="39"/>
        <v>0.67403386175252034</v>
      </c>
      <c r="Y247">
        <f t="shared" si="40"/>
        <v>1.7318832173171845</v>
      </c>
      <c r="AA247" s="3">
        <f t="shared" si="41"/>
        <v>719.51233879601466</v>
      </c>
      <c r="AB247" s="6">
        <f t="shared" si="42"/>
        <v>706.05704356190631</v>
      </c>
      <c r="AC247" s="3">
        <f t="shared" si="43"/>
        <v>701.25158097829626</v>
      </c>
      <c r="AD247">
        <f t="shared" si="44"/>
        <v>438.629360643057</v>
      </c>
      <c r="AE247">
        <f t="shared" si="45"/>
        <v>1.2609341877634561</v>
      </c>
      <c r="AF247">
        <f t="shared" si="46"/>
        <v>4.3139009816413589E-2</v>
      </c>
      <c r="AG247">
        <f t="shared" si="47"/>
        <v>4.3139009816413589E-2</v>
      </c>
      <c r="AI247" s="7">
        <f t="shared" si="48"/>
        <v>460.43536064305692</v>
      </c>
    </row>
    <row r="248" spans="1:35" x14ac:dyDescent="0.25">
      <c r="A248">
        <v>267.80799999999999</v>
      </c>
      <c r="B248">
        <v>7.7560000000000002</v>
      </c>
      <c r="C248">
        <v>78.978999999999999</v>
      </c>
      <c r="D248">
        <v>515.73299999999995</v>
      </c>
      <c r="E248">
        <v>349.42500000000001</v>
      </c>
      <c r="F248">
        <v>2.5419999999999998</v>
      </c>
      <c r="G248">
        <v>80.656000000000006</v>
      </c>
      <c r="H248">
        <v>79.308000000000007</v>
      </c>
      <c r="I248">
        <v>5.2329999999999997</v>
      </c>
      <c r="J248">
        <v>8.2530000000000001</v>
      </c>
      <c r="K248">
        <v>54272.627</v>
      </c>
      <c r="L248">
        <v>21.356000000000002</v>
      </c>
      <c r="N248">
        <v>282.31052999999991</v>
      </c>
      <c r="O248">
        <v>353.88964499999992</v>
      </c>
      <c r="P248">
        <v>905.63768399999981</v>
      </c>
      <c r="Q248">
        <v>714.71609999999998</v>
      </c>
      <c r="R248">
        <f t="shared" si="38"/>
        <v>1.7366326549857605</v>
      </c>
      <c r="S248">
        <v>1.6812559204657278</v>
      </c>
      <c r="T248">
        <v>71.579115000000002</v>
      </c>
      <c r="U248">
        <v>190.92158399999983</v>
      </c>
      <c r="V248">
        <v>551.74803899999984</v>
      </c>
      <c r="W248">
        <v>0.2162988548474023</v>
      </c>
      <c r="X248">
        <f t="shared" si="39"/>
        <v>0.67369726105365124</v>
      </c>
      <c r="Y248">
        <f t="shared" si="40"/>
        <v>1.7319879095983037</v>
      </c>
      <c r="AA248" s="3">
        <f t="shared" si="41"/>
        <v>719.74755203502457</v>
      </c>
      <c r="AB248" s="6">
        <f t="shared" si="42"/>
        <v>706.30454826405719</v>
      </c>
      <c r="AC248" s="3">
        <f t="shared" si="43"/>
        <v>701.50347548871162</v>
      </c>
      <c r="AD248">
        <f t="shared" si="44"/>
        <v>438.45529169377716</v>
      </c>
      <c r="AE248">
        <f t="shared" si="45"/>
        <v>1.2609341877634561</v>
      </c>
      <c r="AF248">
        <f t="shared" si="46"/>
        <v>4.3139009816413589E-2</v>
      </c>
      <c r="AG248">
        <f t="shared" si="47"/>
        <v>4.3139009816413589E-2</v>
      </c>
      <c r="AI248" s="7">
        <f t="shared" si="48"/>
        <v>459.81129169377715</v>
      </c>
    </row>
    <row r="249" spans="1:35" x14ac:dyDescent="0.25">
      <c r="A249">
        <v>268.80799999999999</v>
      </c>
      <c r="B249">
        <v>7.6349999999999998</v>
      </c>
      <c r="C249">
        <v>79.132000000000005</v>
      </c>
      <c r="D249">
        <v>514.59799999999996</v>
      </c>
      <c r="E249">
        <v>349.78399999999999</v>
      </c>
      <c r="F249">
        <v>2.5379999999999998</v>
      </c>
      <c r="G249">
        <v>80.795000000000002</v>
      </c>
      <c r="H249">
        <v>79.305999999999997</v>
      </c>
      <c r="I249">
        <v>5.4169999999999998</v>
      </c>
      <c r="J249">
        <v>7.1539999999999999</v>
      </c>
      <c r="K249">
        <v>54251.834000000003</v>
      </c>
      <c r="L249">
        <v>21.422000000000001</v>
      </c>
      <c r="N249">
        <v>282.18892499999993</v>
      </c>
      <c r="O249">
        <v>354.04340999999994</v>
      </c>
      <c r="P249">
        <v>904.33470399999987</v>
      </c>
      <c r="Q249">
        <v>715.12823199999991</v>
      </c>
      <c r="R249">
        <f t="shared" si="38"/>
        <v>1.7380090156359043</v>
      </c>
      <c r="S249">
        <v>1.6783973117144246</v>
      </c>
      <c r="T249">
        <v>71.854485000000011</v>
      </c>
      <c r="U249">
        <v>189.20647199999996</v>
      </c>
      <c r="V249">
        <v>550.29129399999988</v>
      </c>
      <c r="W249">
        <v>0.2132543041831223</v>
      </c>
      <c r="X249">
        <f t="shared" si="39"/>
        <v>0.67186724560312283</v>
      </c>
      <c r="Y249">
        <f t="shared" si="40"/>
        <v>1.7241920049297688</v>
      </c>
      <c r="AA249" s="3">
        <f t="shared" si="41"/>
        <v>718.92383212269112</v>
      </c>
      <c r="AB249" s="6">
        <f t="shared" si="42"/>
        <v>705.54135503543671</v>
      </c>
      <c r="AC249" s="3">
        <f t="shared" si="43"/>
        <v>700.76189893284584</v>
      </c>
      <c r="AD249">
        <f t="shared" si="44"/>
        <v>435.5071608611766</v>
      </c>
      <c r="AE249">
        <f t="shared" si="45"/>
        <v>1.2609341877634561</v>
      </c>
      <c r="AF249">
        <f t="shared" si="46"/>
        <v>4.3139009816413589E-2</v>
      </c>
      <c r="AG249">
        <f t="shared" si="47"/>
        <v>4.3139009816413589E-2</v>
      </c>
      <c r="AI249" s="7">
        <f t="shared" si="48"/>
        <v>456.92916086117663</v>
      </c>
    </row>
    <row r="250" spans="1:35" x14ac:dyDescent="0.25">
      <c r="A250">
        <v>269.80799999999999</v>
      </c>
      <c r="B250">
        <v>7.6769999999999996</v>
      </c>
      <c r="C250">
        <v>79.033000000000001</v>
      </c>
      <c r="D250">
        <v>512.53499999999997</v>
      </c>
      <c r="E250">
        <v>349.87799999999999</v>
      </c>
      <c r="F250">
        <v>2.544</v>
      </c>
      <c r="G250">
        <v>80.637</v>
      </c>
      <c r="H250">
        <v>79.135999999999996</v>
      </c>
      <c r="I250">
        <v>5.2919999999999998</v>
      </c>
      <c r="J250">
        <v>8.1389999999999993</v>
      </c>
      <c r="K250">
        <v>54228.17</v>
      </c>
      <c r="L250">
        <v>20.510999999999999</v>
      </c>
      <c r="N250">
        <v>282.23113499999999</v>
      </c>
      <c r="O250">
        <v>353.94391499999995</v>
      </c>
      <c r="P250">
        <v>901.96637999999984</v>
      </c>
      <c r="Q250">
        <v>715.23614399999997</v>
      </c>
      <c r="R250">
        <f t="shared" si="38"/>
        <v>1.7364207310173136</v>
      </c>
      <c r="S250">
        <v>1.6787631443488491</v>
      </c>
      <c r="T250">
        <v>71.712779999999952</v>
      </c>
      <c r="U250">
        <v>186.73023599999988</v>
      </c>
      <c r="V250">
        <v>548.0224649999999</v>
      </c>
      <c r="W250">
        <v>0.20987726479424515</v>
      </c>
      <c r="X250">
        <f t="shared" si="39"/>
        <v>0.67209178400612557</v>
      </c>
      <c r="Y250">
        <f t="shared" si="40"/>
        <v>1.7054223816356728</v>
      </c>
      <c r="AA250" s="3">
        <f t="shared" si="41"/>
        <v>717.01401194384653</v>
      </c>
      <c r="AB250" s="6">
        <f t="shared" si="42"/>
        <v>703.66131982181673</v>
      </c>
      <c r="AC250" s="3">
        <f t="shared" si="43"/>
        <v>698.89250120680606</v>
      </c>
      <c r="AD250">
        <f t="shared" si="44"/>
        <v>430.27212588185535</v>
      </c>
      <c r="AE250">
        <f t="shared" si="45"/>
        <v>1.2609341877634561</v>
      </c>
      <c r="AF250">
        <f t="shared" si="46"/>
        <v>4.3139009816413589E-2</v>
      </c>
      <c r="AG250">
        <f t="shared" si="47"/>
        <v>4.3139009816413589E-2</v>
      </c>
      <c r="AI250" s="7">
        <f t="shared" si="48"/>
        <v>450.78312588185537</v>
      </c>
    </row>
    <row r="251" spans="1:35" x14ac:dyDescent="0.25">
      <c r="A251">
        <v>270.80900000000003</v>
      </c>
      <c r="B251">
        <v>7.9009999999999998</v>
      </c>
      <c r="C251">
        <v>78.971000000000004</v>
      </c>
      <c r="D251">
        <v>512.16999999999996</v>
      </c>
      <c r="E251">
        <v>350.12099999999998</v>
      </c>
      <c r="F251">
        <v>2.5459999999999998</v>
      </c>
      <c r="G251">
        <v>80.763999999999996</v>
      </c>
      <c r="H251">
        <v>79.430999999999997</v>
      </c>
      <c r="I251">
        <v>5.4390000000000001</v>
      </c>
      <c r="J251">
        <v>7.95</v>
      </c>
      <c r="K251">
        <v>54219.864000000001</v>
      </c>
      <c r="L251">
        <v>21.17</v>
      </c>
      <c r="N251">
        <v>282.45625499999994</v>
      </c>
      <c r="O251">
        <v>353.88160499999992</v>
      </c>
      <c r="P251">
        <v>901.54735999999991</v>
      </c>
      <c r="Q251">
        <v>715.51510799999994</v>
      </c>
      <c r="R251">
        <f t="shared" si="38"/>
        <v>1.7375855760707617</v>
      </c>
      <c r="S251">
        <v>1.6792057940682399</v>
      </c>
      <c r="T251">
        <v>71.42534999999998</v>
      </c>
      <c r="U251">
        <v>186.03225199999997</v>
      </c>
      <c r="V251">
        <v>547.66575499999999</v>
      </c>
      <c r="W251">
        <v>0.20926432035174444</v>
      </c>
      <c r="X251">
        <f t="shared" si="39"/>
        <v>0.67622184630066162</v>
      </c>
      <c r="Y251">
        <f t="shared" si="40"/>
        <v>1.6990274466700321</v>
      </c>
      <c r="AA251" s="3">
        <f t="shared" si="41"/>
        <v>716.64819588719706</v>
      </c>
      <c r="AB251" s="6">
        <f t="shared" si="42"/>
        <v>703.29534508748543</v>
      </c>
      <c r="AC251" s="3">
        <f t="shared" si="43"/>
        <v>698.5264698018741</v>
      </c>
      <c r="AD251">
        <f t="shared" si="44"/>
        <v>428.64425380595816</v>
      </c>
      <c r="AE251">
        <f t="shared" si="45"/>
        <v>1.2609341877634561</v>
      </c>
      <c r="AF251">
        <f t="shared" si="46"/>
        <v>4.3139009816413589E-2</v>
      </c>
      <c r="AG251">
        <f t="shared" si="47"/>
        <v>4.3139009816413589E-2</v>
      </c>
      <c r="AI251" s="7">
        <f t="shared" si="48"/>
        <v>449.81425380595823</v>
      </c>
    </row>
    <row r="252" spans="1:35" x14ac:dyDescent="0.25">
      <c r="A252">
        <v>271.80900000000003</v>
      </c>
      <c r="B252">
        <v>8.0890000000000004</v>
      </c>
      <c r="C252">
        <v>78.891000000000005</v>
      </c>
      <c r="D252">
        <v>513.62</v>
      </c>
      <c r="E252">
        <v>350.15800000000002</v>
      </c>
      <c r="F252">
        <v>2.536</v>
      </c>
      <c r="G252">
        <v>81.358999999999995</v>
      </c>
      <c r="H252">
        <v>79.917000000000002</v>
      </c>
      <c r="I252">
        <v>5.3280000000000003</v>
      </c>
      <c r="J252">
        <v>7.5709999999999997</v>
      </c>
      <c r="K252">
        <v>54256.864000000001</v>
      </c>
      <c r="L252">
        <v>21.213999999999999</v>
      </c>
      <c r="N252">
        <v>282.64519499999994</v>
      </c>
      <c r="O252">
        <v>353.80120499999998</v>
      </c>
      <c r="P252">
        <v>903.21195999999986</v>
      </c>
      <c r="Q252">
        <v>715.55758399999991</v>
      </c>
      <c r="R252">
        <f t="shared" si="38"/>
        <v>1.74336074540722</v>
      </c>
      <c r="S252">
        <v>1.6853842761054141</v>
      </c>
      <c r="T252">
        <v>71.156010000000038</v>
      </c>
      <c r="U252">
        <v>187.65437599999996</v>
      </c>
      <c r="V252">
        <v>549.41075499999988</v>
      </c>
      <c r="W252">
        <v>0.21204238348046162</v>
      </c>
      <c r="X252">
        <f t="shared" si="39"/>
        <v>0.68364739261276897</v>
      </c>
      <c r="Y252">
        <f t="shared" si="40"/>
        <v>1.6994101513250053</v>
      </c>
      <c r="AA252" s="3">
        <f t="shared" si="41"/>
        <v>717.51500590205558</v>
      </c>
      <c r="AB252" s="6">
        <f t="shared" si="42"/>
        <v>704.04875704967753</v>
      </c>
      <c r="AC252" s="3">
        <f t="shared" si="43"/>
        <v>699.23938245954253</v>
      </c>
      <c r="AD252">
        <f t="shared" si="44"/>
        <v>430.55868146637067</v>
      </c>
      <c r="AE252">
        <f t="shared" si="45"/>
        <v>1.2609341877634561</v>
      </c>
      <c r="AF252">
        <f t="shared" si="46"/>
        <v>4.3139009816413589E-2</v>
      </c>
      <c r="AG252">
        <f t="shared" si="47"/>
        <v>4.3139009816413589E-2</v>
      </c>
      <c r="AI252" s="7">
        <f t="shared" si="48"/>
        <v>451.77268146637067</v>
      </c>
    </row>
    <row r="253" spans="1:35" x14ac:dyDescent="0.25">
      <c r="A253">
        <v>272.80900000000003</v>
      </c>
      <c r="B253">
        <v>8.2460000000000004</v>
      </c>
      <c r="C253">
        <v>78.861999999999995</v>
      </c>
      <c r="D253">
        <v>515.404</v>
      </c>
      <c r="E253">
        <v>350.11500000000001</v>
      </c>
      <c r="F253">
        <v>2.5510000000000002</v>
      </c>
      <c r="G253">
        <v>81.215999999999994</v>
      </c>
      <c r="H253">
        <v>79.760000000000005</v>
      </c>
      <c r="I253">
        <v>5.2770000000000001</v>
      </c>
      <c r="J253">
        <v>7.6150000000000002</v>
      </c>
      <c r="K253">
        <v>54288.802000000003</v>
      </c>
      <c r="L253">
        <v>21.295999999999999</v>
      </c>
      <c r="N253">
        <v>282.80297999999993</v>
      </c>
      <c r="O253">
        <v>353.7720599999999</v>
      </c>
      <c r="P253">
        <v>905.2599919999999</v>
      </c>
      <c r="Q253">
        <v>715.50821999999994</v>
      </c>
      <c r="R253">
        <f t="shared" si="38"/>
        <v>1.7417657542125959</v>
      </c>
      <c r="S253">
        <v>1.6847311472094284</v>
      </c>
      <c r="T253">
        <v>70.969079999999963</v>
      </c>
      <c r="U253">
        <v>189.75177199999996</v>
      </c>
      <c r="V253">
        <v>551.487932</v>
      </c>
      <c r="W253">
        <v>0.21538584093622559</v>
      </c>
      <c r="X253">
        <f t="shared" si="39"/>
        <v>0.68460942798236513</v>
      </c>
      <c r="Y253">
        <f t="shared" si="40"/>
        <v>1.715709419520687</v>
      </c>
      <c r="AA253" s="3">
        <f t="shared" si="41"/>
        <v>719.19022624788818</v>
      </c>
      <c r="AB253" s="6">
        <f t="shared" si="42"/>
        <v>705.70282579608863</v>
      </c>
      <c r="AC253" s="3">
        <f t="shared" si="43"/>
        <v>700.8858970633031</v>
      </c>
      <c r="AD253">
        <f t="shared" si="44"/>
        <v>435.06005105941358</v>
      </c>
      <c r="AE253">
        <f t="shared" si="45"/>
        <v>1.2609341877634561</v>
      </c>
      <c r="AF253">
        <f t="shared" si="46"/>
        <v>4.3139009816413589E-2</v>
      </c>
      <c r="AG253">
        <f t="shared" si="47"/>
        <v>4.3139009816413589E-2</v>
      </c>
      <c r="AI253" s="7">
        <f t="shared" si="48"/>
        <v>456.35605105941352</v>
      </c>
    </row>
    <row r="254" spans="1:35" x14ac:dyDescent="0.25">
      <c r="A254">
        <v>273.80900000000003</v>
      </c>
      <c r="B254">
        <v>8.3409999999999993</v>
      </c>
      <c r="C254">
        <v>78.808000000000007</v>
      </c>
      <c r="D254">
        <v>518.50800000000004</v>
      </c>
      <c r="E254">
        <v>349.71499999999997</v>
      </c>
      <c r="F254">
        <v>2.5939999999999999</v>
      </c>
      <c r="G254">
        <v>81.116</v>
      </c>
      <c r="H254">
        <v>79.608000000000004</v>
      </c>
      <c r="I254">
        <v>5.468</v>
      </c>
      <c r="J254">
        <v>7.3760000000000003</v>
      </c>
      <c r="K254">
        <v>54314.455000000002</v>
      </c>
      <c r="L254">
        <v>20.72</v>
      </c>
      <c r="N254">
        <v>282.89845499999996</v>
      </c>
      <c r="O254">
        <v>353.71778999999992</v>
      </c>
      <c r="P254">
        <v>908.82338399999992</v>
      </c>
      <c r="Q254">
        <v>715.04901999999993</v>
      </c>
      <c r="R254">
        <f t="shared" si="38"/>
        <v>1.7401172545101513</v>
      </c>
      <c r="S254">
        <v>1.6803832317744658</v>
      </c>
      <c r="T254">
        <v>70.819334999999967</v>
      </c>
      <c r="U254">
        <v>193.77436399999999</v>
      </c>
      <c r="V254">
        <v>555.105594</v>
      </c>
      <c r="W254">
        <v>0.22149845061730727</v>
      </c>
      <c r="X254">
        <f t="shared" si="39"/>
        <v>0.68502240019488658</v>
      </c>
      <c r="Y254">
        <f t="shared" si="40"/>
        <v>1.7533467542056931</v>
      </c>
      <c r="AA254" s="3">
        <f t="shared" si="41"/>
        <v>722.34429481961411</v>
      </c>
      <c r="AB254" s="6">
        <f t="shared" si="42"/>
        <v>708.86662992342792</v>
      </c>
      <c r="AC254" s="3">
        <f t="shared" si="43"/>
        <v>704.05317817478999</v>
      </c>
      <c r="AD254">
        <f t="shared" si="44"/>
        <v>444.36442511095606</v>
      </c>
      <c r="AE254">
        <f t="shared" si="45"/>
        <v>1.2609341877634561</v>
      </c>
      <c r="AF254">
        <f t="shared" si="46"/>
        <v>4.3139009816413589E-2</v>
      </c>
      <c r="AG254">
        <f t="shared" si="47"/>
        <v>4.3139009816413589E-2</v>
      </c>
      <c r="AI254" s="7">
        <f t="shared" si="48"/>
        <v>465.08442511095609</v>
      </c>
    </row>
    <row r="255" spans="1:35" x14ac:dyDescent="0.25">
      <c r="A255">
        <v>274.80900000000003</v>
      </c>
      <c r="B255">
        <v>8.2880000000000003</v>
      </c>
      <c r="C255">
        <v>78.882999999999996</v>
      </c>
      <c r="D255">
        <v>520.59799999999996</v>
      </c>
      <c r="E255">
        <v>349.995</v>
      </c>
      <c r="F255">
        <v>2.6030000000000002</v>
      </c>
      <c r="G255">
        <v>81.513999999999996</v>
      </c>
      <c r="H255">
        <v>79.905000000000001</v>
      </c>
      <c r="I255">
        <v>5.4059999999999997</v>
      </c>
      <c r="J255">
        <v>7.4580000000000002</v>
      </c>
      <c r="K255">
        <v>54330.881000000001</v>
      </c>
      <c r="L255">
        <v>21.449000000000002</v>
      </c>
      <c r="N255">
        <v>282.84518999999995</v>
      </c>
      <c r="O255">
        <v>353.79316499999993</v>
      </c>
      <c r="P255">
        <v>911.22270399999991</v>
      </c>
      <c r="Q255">
        <v>715.37045999999987</v>
      </c>
      <c r="R255">
        <f t="shared" si="38"/>
        <v>1.7437207242019548</v>
      </c>
      <c r="S255">
        <v>1.684066993554074</v>
      </c>
      <c r="T255">
        <v>70.947974999999985</v>
      </c>
      <c r="U255">
        <v>195.85224400000004</v>
      </c>
      <c r="V255">
        <v>557.42953899999998</v>
      </c>
      <c r="W255">
        <v>0.22407185170716268</v>
      </c>
      <c r="X255">
        <f t="shared" si="39"/>
        <v>0.68641280752539358</v>
      </c>
      <c r="Y255">
        <f t="shared" si="40"/>
        <v>1.7605271923655281</v>
      </c>
      <c r="AA255" s="3">
        <f t="shared" si="41"/>
        <v>723.97676299061629</v>
      </c>
      <c r="AB255" s="6">
        <f t="shared" si="42"/>
        <v>710.41013357212501</v>
      </c>
      <c r="AC255" s="3">
        <f t="shared" si="43"/>
        <v>705.56490877980673</v>
      </c>
      <c r="AD255">
        <f t="shared" si="44"/>
        <v>447.61674084153628</v>
      </c>
      <c r="AE255">
        <f t="shared" si="45"/>
        <v>1.2609341877634561</v>
      </c>
      <c r="AF255">
        <f t="shared" si="46"/>
        <v>4.3139009816413589E-2</v>
      </c>
      <c r="AG255">
        <f t="shared" si="47"/>
        <v>4.3139009816413589E-2</v>
      </c>
      <c r="AI255" s="7">
        <f t="shared" si="48"/>
        <v>469.0657408415363</v>
      </c>
    </row>
    <row r="256" spans="1:35" x14ac:dyDescent="0.25">
      <c r="A256">
        <v>275.81</v>
      </c>
      <c r="B256">
        <v>8.2750000000000004</v>
      </c>
      <c r="C256">
        <v>78.974000000000004</v>
      </c>
      <c r="D256">
        <v>522.87900000000002</v>
      </c>
      <c r="E256">
        <v>350.13900000000001</v>
      </c>
      <c r="F256">
        <v>2.5910000000000002</v>
      </c>
      <c r="G256">
        <v>81.090999999999994</v>
      </c>
      <c r="H256">
        <v>79.697999999999993</v>
      </c>
      <c r="I256">
        <v>5.4130000000000003</v>
      </c>
      <c r="J256">
        <v>7.9870000000000001</v>
      </c>
      <c r="K256">
        <v>54341.474999999999</v>
      </c>
      <c r="L256">
        <v>20.960999999999999</v>
      </c>
      <c r="N256">
        <v>282.83212499999991</v>
      </c>
      <c r="O256">
        <v>353.88461999999993</v>
      </c>
      <c r="P256">
        <v>913.84129199999995</v>
      </c>
      <c r="Q256">
        <v>715.53577199999995</v>
      </c>
      <c r="R256">
        <f t="shared" si="38"/>
        <v>1.739930814112413</v>
      </c>
      <c r="S256">
        <v>1.6820581565102419</v>
      </c>
      <c r="T256">
        <v>71.052495000000022</v>
      </c>
      <c r="U256">
        <v>198.30552</v>
      </c>
      <c r="V256">
        <v>559.95667200000003</v>
      </c>
      <c r="W256">
        <v>0.22725512769673717</v>
      </c>
      <c r="X256">
        <f t="shared" si="39"/>
        <v>0.68247164341761901</v>
      </c>
      <c r="Y256">
        <f t="shared" si="40"/>
        <v>1.7812917775154138</v>
      </c>
      <c r="AA256" s="3">
        <f t="shared" si="41"/>
        <v>726.20731128515172</v>
      </c>
      <c r="AB256" s="6">
        <f t="shared" si="42"/>
        <v>712.63087181282015</v>
      </c>
      <c r="AC256" s="3">
        <f t="shared" si="43"/>
        <v>707.7821434298445</v>
      </c>
      <c r="AD256">
        <f t="shared" si="44"/>
        <v>452.91162237486805</v>
      </c>
      <c r="AE256">
        <f t="shared" si="45"/>
        <v>1.2609341877634561</v>
      </c>
      <c r="AF256">
        <f t="shared" si="46"/>
        <v>4.3139009816413589E-2</v>
      </c>
      <c r="AG256">
        <f t="shared" si="47"/>
        <v>4.3139009816413589E-2</v>
      </c>
      <c r="AI256" s="7">
        <f t="shared" si="48"/>
        <v>473.87262237486806</v>
      </c>
    </row>
    <row r="257" spans="1:35" x14ac:dyDescent="0.25">
      <c r="A257">
        <v>276.81</v>
      </c>
      <c r="B257">
        <v>8.0589999999999993</v>
      </c>
      <c r="C257">
        <v>78.974000000000004</v>
      </c>
      <c r="D257">
        <v>520.42499999999995</v>
      </c>
      <c r="E257">
        <v>349.95400000000001</v>
      </c>
      <c r="F257">
        <v>2.5609999999999999</v>
      </c>
      <c r="G257">
        <v>81.075000000000003</v>
      </c>
      <c r="H257">
        <v>79.635999999999996</v>
      </c>
      <c r="I257">
        <v>5.5990000000000002</v>
      </c>
      <c r="J257">
        <v>6.7750000000000004</v>
      </c>
      <c r="K257">
        <v>54328.519</v>
      </c>
      <c r="L257">
        <v>21.597999999999999</v>
      </c>
      <c r="N257">
        <v>282.61504499999995</v>
      </c>
      <c r="O257">
        <v>353.88461999999993</v>
      </c>
      <c r="P257">
        <v>911.02409999999986</v>
      </c>
      <c r="Q257">
        <v>715.32339200000001</v>
      </c>
      <c r="R257">
        <f t="shared" si="38"/>
        <v>1.740272107560743</v>
      </c>
      <c r="S257">
        <v>1.6786221688558098</v>
      </c>
      <c r="T257">
        <v>71.269574999999975</v>
      </c>
      <c r="U257">
        <v>195.70070799999985</v>
      </c>
      <c r="V257">
        <v>557.13947999999993</v>
      </c>
      <c r="W257">
        <v>0.22333928480530565</v>
      </c>
      <c r="X257">
        <f t="shared" si="39"/>
        <v>0.68013100890805034</v>
      </c>
      <c r="Y257">
        <f t="shared" si="40"/>
        <v>1.769848705306341</v>
      </c>
      <c r="AA257" s="3">
        <f t="shared" si="41"/>
        <v>724.22493655559083</v>
      </c>
      <c r="AB257" s="6">
        <f t="shared" si="42"/>
        <v>710.74020199695576</v>
      </c>
      <c r="AC257" s="3">
        <f t="shared" si="43"/>
        <v>705.92422536887182</v>
      </c>
      <c r="AD257">
        <f t="shared" si="44"/>
        <v>448.5674082955764</v>
      </c>
      <c r="AE257">
        <f t="shared" si="45"/>
        <v>1.2609341877634561</v>
      </c>
      <c r="AF257">
        <f t="shared" si="46"/>
        <v>4.3139009816413589E-2</v>
      </c>
      <c r="AG257">
        <f t="shared" si="47"/>
        <v>4.3139009816413589E-2</v>
      </c>
      <c r="AI257" s="7">
        <f t="shared" si="48"/>
        <v>470.16540829557641</v>
      </c>
    </row>
    <row r="258" spans="1:35" x14ac:dyDescent="0.25">
      <c r="A258">
        <v>277.81</v>
      </c>
      <c r="B258">
        <v>7.9859999999999998</v>
      </c>
      <c r="C258">
        <v>79.010000000000005</v>
      </c>
      <c r="D258">
        <v>516.41200000000003</v>
      </c>
      <c r="E258">
        <v>349.90300000000002</v>
      </c>
      <c r="F258">
        <v>2.57</v>
      </c>
      <c r="G258">
        <v>81.013999999999996</v>
      </c>
      <c r="H258">
        <v>79.628</v>
      </c>
      <c r="I258">
        <v>5.3840000000000003</v>
      </c>
      <c r="J258">
        <v>8.0250000000000004</v>
      </c>
      <c r="K258">
        <v>54312.991000000002</v>
      </c>
      <c r="L258">
        <v>20.664999999999999</v>
      </c>
      <c r="N258">
        <v>282.54167999999993</v>
      </c>
      <c r="O258">
        <v>353.92079999999993</v>
      </c>
      <c r="P258">
        <v>906.41717599999993</v>
      </c>
      <c r="Q258">
        <v>715.26484399999993</v>
      </c>
      <c r="R258">
        <f t="shared" si="38"/>
        <v>1.7395493542000569</v>
      </c>
      <c r="S258">
        <v>1.6818632673303697</v>
      </c>
      <c r="T258">
        <v>71.37912</v>
      </c>
      <c r="U258">
        <v>191.152332</v>
      </c>
      <c r="V258">
        <v>552.49637600000005</v>
      </c>
      <c r="W258">
        <v>0.21678551607368368</v>
      </c>
      <c r="X258">
        <f t="shared" si="39"/>
        <v>0.67836059374113744</v>
      </c>
      <c r="Y258">
        <f t="shared" si="40"/>
        <v>1.731462708852874</v>
      </c>
      <c r="AA258" s="3">
        <f t="shared" si="41"/>
        <v>720.32199882236739</v>
      </c>
      <c r="AB258" s="6">
        <f t="shared" si="42"/>
        <v>706.85866526004986</v>
      </c>
      <c r="AC258" s="3">
        <f t="shared" si="43"/>
        <v>702.05033184493652</v>
      </c>
      <c r="AD258">
        <f t="shared" si="44"/>
        <v>438.65454225058983</v>
      </c>
      <c r="AE258">
        <f t="shared" si="45"/>
        <v>1.2609341877634561</v>
      </c>
      <c r="AF258">
        <f t="shared" si="46"/>
        <v>4.3139009816413589E-2</v>
      </c>
      <c r="AG258">
        <f t="shared" si="47"/>
        <v>4.3139009816413589E-2</v>
      </c>
      <c r="AI258" s="7">
        <f t="shared" si="48"/>
        <v>459.31954225058985</v>
      </c>
    </row>
    <row r="259" spans="1:35" x14ac:dyDescent="0.25">
      <c r="A259">
        <v>278.81</v>
      </c>
      <c r="B259">
        <v>8.2029999999999994</v>
      </c>
      <c r="C259">
        <v>79.126999999999995</v>
      </c>
      <c r="D259">
        <v>517.12900000000002</v>
      </c>
      <c r="E259">
        <v>349.97699999999998</v>
      </c>
      <c r="F259">
        <v>2.5760000000000001</v>
      </c>
      <c r="G259">
        <v>81.22</v>
      </c>
      <c r="H259">
        <v>79.700999999999993</v>
      </c>
      <c r="I259">
        <v>5.2720000000000002</v>
      </c>
      <c r="J259">
        <v>8.4039999999999999</v>
      </c>
      <c r="K259">
        <v>54317.156000000003</v>
      </c>
      <c r="L259">
        <v>21.832999999999998</v>
      </c>
      <c r="N259">
        <v>282.7597649999999</v>
      </c>
      <c r="O259">
        <v>354.03838499999995</v>
      </c>
      <c r="P259">
        <v>907.24029199999995</v>
      </c>
      <c r="Q259">
        <v>715.34979599999986</v>
      </c>
      <c r="R259">
        <f t="shared" si="38"/>
        <v>1.7413929635355783</v>
      </c>
      <c r="S259">
        <v>1.6842661714411795</v>
      </c>
      <c r="T259">
        <v>71.278620000000046</v>
      </c>
      <c r="U259">
        <v>191.8904960000001</v>
      </c>
      <c r="V259">
        <v>553.20190700000001</v>
      </c>
      <c r="W259">
        <v>0.21802505463886634</v>
      </c>
      <c r="X259">
        <f t="shared" si="39"/>
        <v>0.68124794565617419</v>
      </c>
      <c r="Y259">
        <f t="shared" si="40"/>
        <v>1.7321184894741928</v>
      </c>
      <c r="AA259" s="3">
        <f t="shared" si="41"/>
        <v>720.79793347288637</v>
      </c>
      <c r="AB259" s="6">
        <f t="shared" si="42"/>
        <v>707.28772609261421</v>
      </c>
      <c r="AC259" s="3">
        <f t="shared" si="43"/>
        <v>702.46265202823133</v>
      </c>
      <c r="AD259">
        <f t="shared" si="44"/>
        <v>439.58278754819588</v>
      </c>
      <c r="AE259">
        <f t="shared" si="45"/>
        <v>1.2609341877634561</v>
      </c>
      <c r="AF259">
        <f t="shared" si="46"/>
        <v>4.3139009816413589E-2</v>
      </c>
      <c r="AG259">
        <f t="shared" si="47"/>
        <v>4.3139009816413589E-2</v>
      </c>
      <c r="AI259" s="7">
        <f t="shared" si="48"/>
        <v>461.41578754819591</v>
      </c>
    </row>
    <row r="260" spans="1:35" x14ac:dyDescent="0.25">
      <c r="A260">
        <v>279.81</v>
      </c>
      <c r="B260">
        <v>8.1319999999999997</v>
      </c>
      <c r="C260">
        <v>79.100999999999999</v>
      </c>
      <c r="D260">
        <v>520.39300000000003</v>
      </c>
      <c r="E260">
        <v>349.94600000000003</v>
      </c>
      <c r="F260">
        <v>2.5790000000000002</v>
      </c>
      <c r="G260">
        <v>81.201999999999998</v>
      </c>
      <c r="H260">
        <v>79.769000000000005</v>
      </c>
      <c r="I260">
        <v>5.4450000000000003</v>
      </c>
      <c r="J260">
        <v>8.0399999999999991</v>
      </c>
      <c r="K260">
        <v>54325.438000000002</v>
      </c>
      <c r="L260">
        <v>20.863</v>
      </c>
      <c r="N260">
        <v>282.68840999999998</v>
      </c>
      <c r="O260">
        <v>354.01225499999993</v>
      </c>
      <c r="P260">
        <v>910.98736399999996</v>
      </c>
      <c r="Q260">
        <v>715.31420799999989</v>
      </c>
      <c r="R260">
        <f t="shared" si="38"/>
        <v>1.7411740306752514</v>
      </c>
      <c r="S260">
        <v>1.6822157969617699</v>
      </c>
      <c r="T260">
        <v>71.323844999999949</v>
      </c>
      <c r="U260">
        <v>195.67315600000006</v>
      </c>
      <c r="V260">
        <v>556.97510899999997</v>
      </c>
      <c r="W260">
        <v>0.22325829106305739</v>
      </c>
      <c r="X260">
        <f t="shared" si="39"/>
        <v>0.68047734781816904</v>
      </c>
      <c r="Y260">
        <f t="shared" si="40"/>
        <v>1.7628552331324328</v>
      </c>
      <c r="AA260" s="3">
        <f t="shared" si="41"/>
        <v>723.92761826389767</v>
      </c>
      <c r="AB260" s="6">
        <f t="shared" si="42"/>
        <v>710.39129403743334</v>
      </c>
      <c r="AC260" s="3">
        <f t="shared" si="43"/>
        <v>705.55689252798174</v>
      </c>
      <c r="AD260">
        <f t="shared" si="44"/>
        <v>447.69408652555029</v>
      </c>
      <c r="AE260">
        <f t="shared" si="45"/>
        <v>1.2609341877634561</v>
      </c>
      <c r="AF260">
        <f t="shared" si="46"/>
        <v>4.3139009816413589E-2</v>
      </c>
      <c r="AG260">
        <f t="shared" si="47"/>
        <v>4.3139009816413589E-2</v>
      </c>
    </row>
    <row r="261" spans="1:35" x14ac:dyDescent="0.25">
      <c r="A261">
        <v>280.81</v>
      </c>
      <c r="B261">
        <v>8.2870000000000008</v>
      </c>
      <c r="C261">
        <v>79.19</v>
      </c>
      <c r="D261">
        <v>522.35599999999999</v>
      </c>
      <c r="E261">
        <v>349.483</v>
      </c>
      <c r="F261">
        <v>2.5710000000000002</v>
      </c>
      <c r="G261">
        <v>80.813999999999993</v>
      </c>
      <c r="H261">
        <v>79.567999999999998</v>
      </c>
      <c r="I261">
        <v>5.5350000000000001</v>
      </c>
      <c r="J261">
        <v>8.0709999999999997</v>
      </c>
      <c r="K261">
        <v>54338.506999999998</v>
      </c>
      <c r="L261">
        <v>21.559000000000001</v>
      </c>
      <c r="N261">
        <v>282.84418499999992</v>
      </c>
      <c r="O261">
        <v>354.10169999999994</v>
      </c>
      <c r="P261">
        <v>913.24088799999993</v>
      </c>
      <c r="Q261">
        <v>714.78268400000002</v>
      </c>
      <c r="R261">
        <f t="shared" ref="R261:R324" si="49">(G261+103.5)/(F261+103.5)</f>
        <v>1.7376474248380802</v>
      </c>
      <c r="S261">
        <v>1.6789838125372585</v>
      </c>
      <c r="T261">
        <v>71.257515000000012</v>
      </c>
      <c r="U261">
        <v>198.45820399999991</v>
      </c>
      <c r="V261">
        <v>559.13918799999999</v>
      </c>
      <c r="W261">
        <v>0.22749378281816995</v>
      </c>
      <c r="X261">
        <f t="shared" ref="X261:X324" si="50">((B261+273.15)/(C261-B261)*((R261^(0.4/1.4)-1)))</f>
        <v>0.67879276359451235</v>
      </c>
      <c r="Y261">
        <f t="shared" ref="Y261:Y324" si="51">(D261-E261)/((D261+273.15)*(1-(1/S261^(0.333/1.333))))</f>
        <v>1.7897327075450449</v>
      </c>
      <c r="AA261" s="3">
        <f t="shared" ref="AA261:AA289" si="52">(D261+273.15)-((0.72*(D261+273.15))*(1-(1/S261^(0.333/1.333))))</f>
        <v>725.96010665219831</v>
      </c>
      <c r="AB261" s="6">
        <f t="shared" ref="AB261:AB324" si="53">(D261+273.15)-((0.86*(D261+273.15))*(1-(1/S261^(0.333/1.333))))</f>
        <v>712.43729405679244</v>
      </c>
      <c r="AC261" s="3">
        <f t="shared" ref="AC261:AC324" si="54">(D261+273.15)-((0.91*(D261+273.15))*(1-(1/S261^(0.333/1.333))))</f>
        <v>707.60771812986172</v>
      </c>
      <c r="AD261">
        <f t="shared" ref="AD261:AD324" si="55">SQRT(2*(1148)*(AB261-(E261+273.15)))</f>
        <v>454.0822162939167</v>
      </c>
      <c r="AE261">
        <f t="shared" ref="AE261:AE324" si="56">103500/(287*(12.85+273.15))</f>
        <v>1.2609341877634561</v>
      </c>
      <c r="AF261">
        <f t="shared" ref="AF261:AF324" si="57">(103500/(287*(12.85+273.15))*(PI()*(0.033^2)*10))</f>
        <v>4.3139009816413589E-2</v>
      </c>
      <c r="AG261">
        <f t="shared" ref="AG261:AG324" si="58">(AF261+(M261*770))</f>
        <v>4.3139009816413589E-2</v>
      </c>
    </row>
    <row r="262" spans="1:35" x14ac:dyDescent="0.25">
      <c r="A262">
        <v>281.81</v>
      </c>
      <c r="B262">
        <v>8.2539999999999996</v>
      </c>
      <c r="C262">
        <v>79.251999999999995</v>
      </c>
      <c r="D262">
        <v>520.09400000000005</v>
      </c>
      <c r="E262">
        <v>350.08199999999999</v>
      </c>
      <c r="F262">
        <v>2.52</v>
      </c>
      <c r="G262">
        <v>80.712000000000003</v>
      </c>
      <c r="H262">
        <v>79.096999999999994</v>
      </c>
      <c r="I262">
        <v>5.2880000000000003</v>
      </c>
      <c r="J262">
        <v>7.9109999999999996</v>
      </c>
      <c r="K262">
        <v>54330.646000000001</v>
      </c>
      <c r="L262">
        <v>21.350999999999999</v>
      </c>
      <c r="N262">
        <v>282.81101999999998</v>
      </c>
      <c r="O262">
        <v>354.16400999999996</v>
      </c>
      <c r="P262">
        <v>910.64411199999995</v>
      </c>
      <c r="Q262">
        <v>715.47033599999986</v>
      </c>
      <c r="R262">
        <f t="shared" si="49"/>
        <v>1.7375212224108658</v>
      </c>
      <c r="S262">
        <v>1.6784663749678272</v>
      </c>
      <c r="T262">
        <v>71.352989999999977</v>
      </c>
      <c r="U262">
        <v>195.17377600000009</v>
      </c>
      <c r="V262">
        <v>556.48010199999999</v>
      </c>
      <c r="W262">
        <v>0.22250712209652398</v>
      </c>
      <c r="X262">
        <f t="shared" si="50"/>
        <v>0.6777086935804526</v>
      </c>
      <c r="Y262">
        <f t="shared" si="51"/>
        <v>1.7661162776977373</v>
      </c>
      <c r="AA262" s="3">
        <f t="shared" si="52"/>
        <v>723.9344978195611</v>
      </c>
      <c r="AB262" s="6">
        <f t="shared" si="53"/>
        <v>710.45765017336464</v>
      </c>
      <c r="AC262" s="3">
        <f t="shared" si="54"/>
        <v>705.64449029972297</v>
      </c>
      <c r="AD262">
        <f t="shared" si="55"/>
        <v>447.51546654618016</v>
      </c>
      <c r="AE262">
        <f t="shared" si="56"/>
        <v>1.2609341877634561</v>
      </c>
      <c r="AF262">
        <f t="shared" si="57"/>
        <v>4.3139009816413589E-2</v>
      </c>
      <c r="AG262">
        <f t="shared" si="58"/>
        <v>4.3139009816413589E-2</v>
      </c>
    </row>
    <row r="263" spans="1:35" x14ac:dyDescent="0.25">
      <c r="A263">
        <v>282.81</v>
      </c>
      <c r="B263">
        <v>8.2319999999999993</v>
      </c>
      <c r="C263">
        <v>79.17</v>
      </c>
      <c r="D263">
        <v>520.29100000000005</v>
      </c>
      <c r="E263">
        <v>350.048</v>
      </c>
      <c r="F263">
        <v>2.5830000000000002</v>
      </c>
      <c r="G263">
        <v>80.703999999999994</v>
      </c>
      <c r="H263">
        <v>79.436999999999998</v>
      </c>
      <c r="I263">
        <v>5.2880000000000003</v>
      </c>
      <c r="J263">
        <v>8.2899999999999991</v>
      </c>
      <c r="K263">
        <v>54288.891000000003</v>
      </c>
      <c r="L263">
        <v>21.378</v>
      </c>
      <c r="N263">
        <v>282.78890999999993</v>
      </c>
      <c r="O263">
        <v>354.08159999999998</v>
      </c>
      <c r="P263">
        <v>910.87026800000001</v>
      </c>
      <c r="Q263">
        <v>715.43130399999995</v>
      </c>
      <c r="R263">
        <f t="shared" si="49"/>
        <v>1.7364139400280914</v>
      </c>
      <c r="S263">
        <v>1.6815917196749643</v>
      </c>
      <c r="T263">
        <v>71.29269000000005</v>
      </c>
      <c r="U263">
        <v>195.43896400000006</v>
      </c>
      <c r="V263">
        <v>556.78866800000003</v>
      </c>
      <c r="W263">
        <v>0.22296839202194396</v>
      </c>
      <c r="X263">
        <f t="shared" si="50"/>
        <v>0.67738296067229697</v>
      </c>
      <c r="Y263">
        <f t="shared" si="51"/>
        <v>1.7621489962702612</v>
      </c>
      <c r="AA263" s="3">
        <f t="shared" si="52"/>
        <v>723.8810704710894</v>
      </c>
      <c r="AB263" s="6">
        <f t="shared" si="53"/>
        <v>710.35552861824567</v>
      </c>
      <c r="AC263" s="3">
        <f t="shared" si="54"/>
        <v>705.52497795651573</v>
      </c>
      <c r="AD263">
        <f t="shared" si="55"/>
        <v>447.34068192764687</v>
      </c>
      <c r="AE263">
        <f t="shared" si="56"/>
        <v>1.2609341877634561</v>
      </c>
      <c r="AF263">
        <f t="shared" si="57"/>
        <v>4.3139009816413589E-2</v>
      </c>
      <c r="AG263">
        <f t="shared" si="58"/>
        <v>4.3139009816413589E-2</v>
      </c>
    </row>
    <row r="264" spans="1:35" x14ac:dyDescent="0.25">
      <c r="A264">
        <v>283.81</v>
      </c>
      <c r="B264">
        <v>8.2530000000000001</v>
      </c>
      <c r="C264">
        <v>79.215000000000003</v>
      </c>
      <c r="D264">
        <v>518.35299999999995</v>
      </c>
      <c r="E264">
        <v>350.13400000000001</v>
      </c>
      <c r="F264">
        <v>2.556</v>
      </c>
      <c r="G264">
        <v>80.475999999999999</v>
      </c>
      <c r="H264">
        <v>78.942999999999998</v>
      </c>
      <c r="I264">
        <v>5.43</v>
      </c>
      <c r="J264">
        <v>7.9109999999999996</v>
      </c>
      <c r="K264">
        <v>54269.536999999997</v>
      </c>
      <c r="L264">
        <v>20.95</v>
      </c>
      <c r="N264">
        <v>282.81001499999991</v>
      </c>
      <c r="O264">
        <v>354.126825</v>
      </c>
      <c r="P264">
        <v>908.64544399999988</v>
      </c>
      <c r="Q264">
        <v>715.53003199999989</v>
      </c>
      <c r="R264">
        <f t="shared" si="49"/>
        <v>1.7347061929546654</v>
      </c>
      <c r="S264">
        <v>1.6748645919397775</v>
      </c>
      <c r="T264">
        <v>71.316810000000089</v>
      </c>
      <c r="U264">
        <v>193.11541199999999</v>
      </c>
      <c r="V264">
        <v>554.51861899999994</v>
      </c>
      <c r="W264">
        <v>0.21964745245100584</v>
      </c>
      <c r="X264">
        <f t="shared" si="50"/>
        <v>0.67589934183007072</v>
      </c>
      <c r="Y264">
        <f t="shared" si="51"/>
        <v>1.7581672381712568</v>
      </c>
      <c r="AA264" s="3">
        <f t="shared" si="52"/>
        <v>722.61439977447219</v>
      </c>
      <c r="AB264" s="6">
        <f t="shared" si="53"/>
        <v>709.21939417506405</v>
      </c>
      <c r="AC264" s="3">
        <f t="shared" si="54"/>
        <v>704.43546360384676</v>
      </c>
      <c r="AD264">
        <f t="shared" si="55"/>
        <v>444.19327440422495</v>
      </c>
      <c r="AE264">
        <f t="shared" si="56"/>
        <v>1.2609341877634561</v>
      </c>
      <c r="AF264">
        <f t="shared" si="57"/>
        <v>4.3139009816413589E-2</v>
      </c>
      <c r="AG264">
        <f t="shared" si="58"/>
        <v>4.3139009816413589E-2</v>
      </c>
    </row>
    <row r="265" spans="1:35" x14ac:dyDescent="0.25">
      <c r="A265">
        <v>284.81</v>
      </c>
      <c r="B265">
        <v>8.3640000000000008</v>
      </c>
      <c r="C265">
        <v>79.069999999999993</v>
      </c>
      <c r="D265">
        <v>517.35400000000004</v>
      </c>
      <c r="E265">
        <v>349.74200000000002</v>
      </c>
      <c r="F265">
        <v>2.5259999999999998</v>
      </c>
      <c r="G265">
        <v>80.563000000000002</v>
      </c>
      <c r="H265">
        <v>79.245999999999995</v>
      </c>
      <c r="I265">
        <v>5.3689999999999998</v>
      </c>
      <c r="J265">
        <v>8.2149999999999999</v>
      </c>
      <c r="K265">
        <v>54245.161999999997</v>
      </c>
      <c r="L265">
        <v>21.515000000000001</v>
      </c>
      <c r="N265">
        <v>282.92156999999992</v>
      </c>
      <c r="O265">
        <v>353.98109999999991</v>
      </c>
      <c r="P265">
        <v>907.49859199999992</v>
      </c>
      <c r="Q265">
        <v>715.080016</v>
      </c>
      <c r="R265">
        <f t="shared" si="49"/>
        <v>1.7360175805934392</v>
      </c>
      <c r="S265">
        <v>1.6785861907430029</v>
      </c>
      <c r="T265">
        <v>71.059529999999995</v>
      </c>
      <c r="U265">
        <v>192.41857599999992</v>
      </c>
      <c r="V265">
        <v>553.51749199999995</v>
      </c>
      <c r="W265">
        <v>0.21925060680828481</v>
      </c>
      <c r="X265">
        <f t="shared" si="50"/>
        <v>0.67962036445191176</v>
      </c>
      <c r="Y265">
        <f t="shared" si="51"/>
        <v>1.7469942737064921</v>
      </c>
      <c r="AA265" s="3">
        <f t="shared" si="52"/>
        <v>721.42498708259689</v>
      </c>
      <c r="AB265" s="6">
        <f t="shared" si="53"/>
        <v>707.99295679310194</v>
      </c>
      <c r="AC265" s="3">
        <f t="shared" si="54"/>
        <v>703.19580311828224</v>
      </c>
      <c r="AD265">
        <f t="shared" si="55"/>
        <v>442.03144322204264</v>
      </c>
      <c r="AE265">
        <f t="shared" si="56"/>
        <v>1.2609341877634561</v>
      </c>
      <c r="AF265">
        <f t="shared" si="57"/>
        <v>4.3139009816413589E-2</v>
      </c>
      <c r="AG265">
        <f t="shared" si="58"/>
        <v>4.3139009816413589E-2</v>
      </c>
    </row>
    <row r="266" spans="1:35" x14ac:dyDescent="0.25">
      <c r="A266">
        <v>285.81</v>
      </c>
      <c r="B266">
        <v>8.3819999999999997</v>
      </c>
      <c r="C266">
        <v>79.034999999999997</v>
      </c>
      <c r="D266">
        <v>519.93799999999999</v>
      </c>
      <c r="E266">
        <v>349.56799999999998</v>
      </c>
      <c r="F266">
        <v>2.5299999999999998</v>
      </c>
      <c r="G266">
        <v>80.936999999999998</v>
      </c>
      <c r="H266">
        <v>79.644000000000005</v>
      </c>
      <c r="I266">
        <v>5.2350000000000003</v>
      </c>
      <c r="J266">
        <v>7.798</v>
      </c>
      <c r="K266">
        <v>54242.864999999998</v>
      </c>
      <c r="L266">
        <v>21.044</v>
      </c>
      <c r="N266">
        <v>282.93965999999995</v>
      </c>
      <c r="O266">
        <v>353.94592499999993</v>
      </c>
      <c r="P266">
        <v>910.46502399999986</v>
      </c>
      <c r="Q266">
        <v>714.8802639999999</v>
      </c>
      <c r="R266">
        <f t="shared" si="49"/>
        <v>1.7394793926247289</v>
      </c>
      <c r="S266">
        <v>1.684315077941785</v>
      </c>
      <c r="T266">
        <v>71.006264999999985</v>
      </c>
      <c r="U266">
        <v>195.58475999999996</v>
      </c>
      <c r="V266">
        <v>556.51909899999987</v>
      </c>
      <c r="W266">
        <v>0.22385304515847354</v>
      </c>
      <c r="X266">
        <f t="shared" si="50"/>
        <v>0.68282957646207709</v>
      </c>
      <c r="Y266">
        <f t="shared" si="51"/>
        <v>1.7591203755144709</v>
      </c>
      <c r="AA266" s="3">
        <f t="shared" si="52"/>
        <v>723.35633086159601</v>
      </c>
      <c r="AB266" s="6">
        <f t="shared" si="53"/>
        <v>709.79739519579527</v>
      </c>
      <c r="AC266" s="3">
        <f t="shared" si="54"/>
        <v>704.95491817229492</v>
      </c>
      <c r="AD266">
        <f t="shared" si="55"/>
        <v>447.14012498270165</v>
      </c>
      <c r="AE266">
        <f t="shared" si="56"/>
        <v>1.2609341877634561</v>
      </c>
      <c r="AF266">
        <f t="shared" si="57"/>
        <v>4.3139009816413589E-2</v>
      </c>
      <c r="AG266">
        <f t="shared" si="58"/>
        <v>4.3139009816413589E-2</v>
      </c>
    </row>
    <row r="267" spans="1:35" x14ac:dyDescent="0.25">
      <c r="A267">
        <v>286.81</v>
      </c>
      <c r="B267">
        <v>8.4540000000000006</v>
      </c>
      <c r="C267">
        <v>79</v>
      </c>
      <c r="D267">
        <v>522.67399999999998</v>
      </c>
      <c r="E267">
        <v>349.58800000000002</v>
      </c>
      <c r="F267">
        <v>2.5369999999999999</v>
      </c>
      <c r="G267">
        <v>80.796999999999997</v>
      </c>
      <c r="H267">
        <v>79.3</v>
      </c>
      <c r="I267">
        <v>5.2530000000000001</v>
      </c>
      <c r="J267">
        <v>7.7350000000000003</v>
      </c>
      <c r="K267">
        <v>54244.012999999999</v>
      </c>
      <c r="L267">
        <v>20.808</v>
      </c>
      <c r="N267">
        <v>283.01201999999995</v>
      </c>
      <c r="O267">
        <v>353.91074999999995</v>
      </c>
      <c r="P267">
        <v>913.60595199999989</v>
      </c>
      <c r="Q267">
        <v>714.90322400000002</v>
      </c>
      <c r="R267">
        <f t="shared" si="49"/>
        <v>1.7380442675669812</v>
      </c>
      <c r="S267">
        <v>1.6808731713148144</v>
      </c>
      <c r="T267">
        <v>70.89873</v>
      </c>
      <c r="U267">
        <v>198.70272799999987</v>
      </c>
      <c r="V267">
        <v>559.69520199999988</v>
      </c>
      <c r="W267">
        <v>0.22834570949207439</v>
      </c>
      <c r="X267">
        <f t="shared" si="50"/>
        <v>0.68293762206346897</v>
      </c>
      <c r="Y267">
        <f t="shared" si="51"/>
        <v>1.7875883024092822</v>
      </c>
      <c r="AA267" s="3">
        <f t="shared" si="52"/>
        <v>726.10888727967358</v>
      </c>
      <c r="AB267" s="6">
        <f t="shared" si="53"/>
        <v>712.55317091738789</v>
      </c>
      <c r="AC267" s="3">
        <f t="shared" si="54"/>
        <v>707.71184364514306</v>
      </c>
      <c r="AD267">
        <f t="shared" si="55"/>
        <v>454.10971408495817</v>
      </c>
      <c r="AE267">
        <f t="shared" si="56"/>
        <v>1.2609341877634561</v>
      </c>
      <c r="AF267">
        <f t="shared" si="57"/>
        <v>4.3139009816413589E-2</v>
      </c>
      <c r="AG267">
        <f t="shared" si="58"/>
        <v>4.3139009816413589E-2</v>
      </c>
    </row>
    <row r="268" spans="1:35" x14ac:dyDescent="0.25">
      <c r="A268">
        <v>287.81</v>
      </c>
      <c r="B268">
        <v>8.3070000000000004</v>
      </c>
      <c r="C268">
        <v>79.013999999999996</v>
      </c>
      <c r="D268">
        <v>525.43299999999999</v>
      </c>
      <c r="E268">
        <v>350.24900000000002</v>
      </c>
      <c r="F268">
        <v>2.552</v>
      </c>
      <c r="G268">
        <v>80.849999999999994</v>
      </c>
      <c r="H268">
        <v>79.391999999999996</v>
      </c>
      <c r="I268">
        <v>5.4530000000000003</v>
      </c>
      <c r="J268">
        <v>8.3279999999999994</v>
      </c>
      <c r="K268">
        <v>54234.624000000003</v>
      </c>
      <c r="L268">
        <v>21.033000000000001</v>
      </c>
      <c r="N268">
        <v>282.86428499999994</v>
      </c>
      <c r="O268">
        <v>353.92481999999995</v>
      </c>
      <c r="P268">
        <v>916.77328399999988</v>
      </c>
      <c r="Q268">
        <v>715.6620519999999</v>
      </c>
      <c r="R268">
        <f t="shared" si="49"/>
        <v>1.7382981933391164</v>
      </c>
      <c r="S268">
        <v>1.6786320707093885</v>
      </c>
      <c r="T268">
        <v>71.060535000000016</v>
      </c>
      <c r="U268">
        <v>201.11123199999997</v>
      </c>
      <c r="V268">
        <v>562.84846399999992</v>
      </c>
      <c r="W268">
        <v>0.23105810056896589</v>
      </c>
      <c r="X268">
        <f t="shared" si="50"/>
        <v>0.68122146126155103</v>
      </c>
      <c r="Y268">
        <f t="shared" si="51"/>
        <v>1.807354548360329</v>
      </c>
      <c r="AA268" s="3">
        <f t="shared" si="52"/>
        <v>728.79454586717361</v>
      </c>
      <c r="AB268" s="6">
        <f t="shared" si="53"/>
        <v>715.22456867467952</v>
      </c>
      <c r="AC268" s="3">
        <f t="shared" si="54"/>
        <v>710.37814824878888</v>
      </c>
      <c r="AD268">
        <f t="shared" si="55"/>
        <v>459.1639202692914</v>
      </c>
      <c r="AE268">
        <f t="shared" si="56"/>
        <v>1.2609341877634561</v>
      </c>
      <c r="AF268">
        <f t="shared" si="57"/>
        <v>4.3139009816413589E-2</v>
      </c>
      <c r="AG268">
        <f t="shared" si="58"/>
        <v>4.3139009816413589E-2</v>
      </c>
    </row>
    <row r="269" spans="1:35" x14ac:dyDescent="0.25">
      <c r="A269">
        <v>288.81</v>
      </c>
      <c r="B269">
        <v>8.4760000000000009</v>
      </c>
      <c r="C269">
        <v>79.125</v>
      </c>
      <c r="D269">
        <v>524.13400000000001</v>
      </c>
      <c r="E269">
        <v>350.548</v>
      </c>
      <c r="F269">
        <v>2.556</v>
      </c>
      <c r="G269">
        <v>80.804000000000002</v>
      </c>
      <c r="H269">
        <v>79.247</v>
      </c>
      <c r="I269">
        <v>5.6150000000000002</v>
      </c>
      <c r="J269">
        <v>7.4569999999999999</v>
      </c>
      <c r="K269">
        <v>54243.997000000003</v>
      </c>
      <c r="L269">
        <v>20.753</v>
      </c>
      <c r="N269">
        <v>283.03412999999995</v>
      </c>
      <c r="O269">
        <v>354.03637499999996</v>
      </c>
      <c r="P269">
        <v>915.28203199999996</v>
      </c>
      <c r="Q269">
        <v>716.00530399999991</v>
      </c>
      <c r="R269">
        <f t="shared" si="49"/>
        <v>1.737798898695029</v>
      </c>
      <c r="S269">
        <v>1.6748109792420842</v>
      </c>
      <c r="T269">
        <v>71.002245000000016</v>
      </c>
      <c r="U269">
        <v>199.27672800000005</v>
      </c>
      <c r="V269">
        <v>561.24565699999994</v>
      </c>
      <c r="W269">
        <v>0.22855318593583351</v>
      </c>
      <c r="X269">
        <f t="shared" si="50"/>
        <v>0.68180692763222184</v>
      </c>
      <c r="Y269">
        <f t="shared" si="51"/>
        <v>1.8012110644566457</v>
      </c>
      <c r="AA269" s="3">
        <f t="shared" si="52"/>
        <v>727.89628499742639</v>
      </c>
      <c r="AB269" s="6">
        <f t="shared" si="53"/>
        <v>714.40422930248155</v>
      </c>
      <c r="AC269" s="3">
        <f t="shared" si="54"/>
        <v>709.58563798285832</v>
      </c>
      <c r="AD269">
        <f t="shared" si="55"/>
        <v>456.35677104486757</v>
      </c>
      <c r="AE269">
        <f t="shared" si="56"/>
        <v>1.2609341877634561</v>
      </c>
      <c r="AF269">
        <f t="shared" si="57"/>
        <v>4.3139009816413589E-2</v>
      </c>
      <c r="AG269">
        <f t="shared" si="58"/>
        <v>4.3139009816413589E-2</v>
      </c>
    </row>
    <row r="270" spans="1:35" x14ac:dyDescent="0.25">
      <c r="A270">
        <v>289.81</v>
      </c>
      <c r="B270">
        <v>8.5790000000000006</v>
      </c>
      <c r="C270">
        <v>79.156999999999996</v>
      </c>
      <c r="D270">
        <v>520.87800000000004</v>
      </c>
      <c r="E270">
        <v>349.88499999999999</v>
      </c>
      <c r="F270">
        <v>2.5390000000000001</v>
      </c>
      <c r="G270">
        <v>80.454999999999998</v>
      </c>
      <c r="H270">
        <v>79.016000000000005</v>
      </c>
      <c r="I270">
        <v>5.2229999999999999</v>
      </c>
      <c r="J270">
        <v>7.7229999999999999</v>
      </c>
      <c r="K270">
        <v>54259.25</v>
      </c>
      <c r="L270">
        <v>21.603000000000002</v>
      </c>
      <c r="N270">
        <v>283.13764499999996</v>
      </c>
      <c r="O270">
        <v>354.06853499999994</v>
      </c>
      <c r="P270">
        <v>911.54414399999996</v>
      </c>
      <c r="Q270">
        <v>715.24417999999991</v>
      </c>
      <c r="R270">
        <f t="shared" si="49"/>
        <v>1.7347862578862492</v>
      </c>
      <c r="S270">
        <v>1.6787248328320596</v>
      </c>
      <c r="T270">
        <v>70.930889999999977</v>
      </c>
      <c r="U270">
        <v>196.29996400000005</v>
      </c>
      <c r="V270">
        <v>557.47560900000008</v>
      </c>
      <c r="W270">
        <v>0.22488710174223972</v>
      </c>
      <c r="X270">
        <f t="shared" si="50"/>
        <v>0.68042565452994652</v>
      </c>
      <c r="Y270">
        <f t="shared" si="51"/>
        <v>1.7740591564375312</v>
      </c>
      <c r="AA270" s="3">
        <f t="shared" si="52"/>
        <v>724.63067491461459</v>
      </c>
      <c r="AB270" s="6">
        <f t="shared" si="53"/>
        <v>711.13675059245634</v>
      </c>
      <c r="AC270" s="3">
        <f t="shared" si="54"/>
        <v>706.31749190597122</v>
      </c>
      <c r="AD270">
        <f t="shared" si="55"/>
        <v>449.75728939093341</v>
      </c>
      <c r="AE270">
        <f t="shared" si="56"/>
        <v>1.2609341877634561</v>
      </c>
      <c r="AF270">
        <f t="shared" si="57"/>
        <v>4.3139009816413589E-2</v>
      </c>
      <c r="AG270">
        <f t="shared" si="58"/>
        <v>4.3139009816413589E-2</v>
      </c>
    </row>
    <row r="271" spans="1:35" x14ac:dyDescent="0.25">
      <c r="A271">
        <v>290.81</v>
      </c>
      <c r="B271">
        <v>8.4719999999999995</v>
      </c>
      <c r="C271">
        <v>79.156999999999996</v>
      </c>
      <c r="D271">
        <v>517.42700000000002</v>
      </c>
      <c r="E271">
        <v>349.71600000000001</v>
      </c>
      <c r="F271">
        <v>2.5259999999999998</v>
      </c>
      <c r="G271">
        <v>80.545000000000002</v>
      </c>
      <c r="H271">
        <v>79.093999999999994</v>
      </c>
      <c r="I271">
        <v>5.4489999999999998</v>
      </c>
      <c r="J271">
        <v>8.6300000000000008</v>
      </c>
      <c r="K271">
        <v>54242.784</v>
      </c>
      <c r="L271">
        <v>21.12</v>
      </c>
      <c r="N271">
        <v>283.03010999999992</v>
      </c>
      <c r="O271">
        <v>354.06853499999994</v>
      </c>
      <c r="P271">
        <v>907.5823959999999</v>
      </c>
      <c r="Q271">
        <v>715.05016799999987</v>
      </c>
      <c r="R271">
        <f t="shared" si="49"/>
        <v>1.7358478109143043</v>
      </c>
      <c r="S271">
        <v>1.6759584759841761</v>
      </c>
      <c r="T271">
        <v>71.038425000000018</v>
      </c>
      <c r="U271">
        <v>192.53222800000003</v>
      </c>
      <c r="V271">
        <v>553.51386099999991</v>
      </c>
      <c r="W271">
        <v>0.21949550238995738</v>
      </c>
      <c r="X271">
        <f t="shared" si="50"/>
        <v>0.67995275404203515</v>
      </c>
      <c r="Y271">
        <f t="shared" si="51"/>
        <v>1.7528319172259581</v>
      </c>
      <c r="AA271" s="3">
        <f t="shared" si="52"/>
        <v>721.68738268226957</v>
      </c>
      <c r="AB271" s="6">
        <f t="shared" si="53"/>
        <v>708.29217931493304</v>
      </c>
      <c r="AC271" s="3">
        <f t="shared" si="54"/>
        <v>703.50817811231286</v>
      </c>
      <c r="AD271">
        <f t="shared" si="55"/>
        <v>442.8752733073797</v>
      </c>
      <c r="AE271">
        <f t="shared" si="56"/>
        <v>1.2609341877634561</v>
      </c>
      <c r="AF271">
        <f t="shared" si="57"/>
        <v>4.3139009816413589E-2</v>
      </c>
      <c r="AG271">
        <f t="shared" si="58"/>
        <v>4.3139009816413589E-2</v>
      </c>
    </row>
    <row r="272" spans="1:35" x14ac:dyDescent="0.25">
      <c r="A272">
        <v>291.81</v>
      </c>
      <c r="B272">
        <v>8.4250000000000007</v>
      </c>
      <c r="C272">
        <v>78.991</v>
      </c>
      <c r="D272">
        <v>516.61800000000005</v>
      </c>
      <c r="E272">
        <v>350.29500000000002</v>
      </c>
      <c r="F272">
        <v>2.5230000000000001</v>
      </c>
      <c r="G272">
        <v>80.930000000000007</v>
      </c>
      <c r="H272">
        <v>79.543000000000006</v>
      </c>
      <c r="I272">
        <v>5.3029999999999999</v>
      </c>
      <c r="J272">
        <v>7.6459999999999999</v>
      </c>
      <c r="K272">
        <v>54231.235000000001</v>
      </c>
      <c r="L272">
        <v>21.048999999999999</v>
      </c>
      <c r="N272">
        <v>282.98287499999998</v>
      </c>
      <c r="O272">
        <v>353.90170499999994</v>
      </c>
      <c r="P272">
        <v>906.65366399999994</v>
      </c>
      <c r="Q272">
        <v>715.71485999999982</v>
      </c>
      <c r="R272">
        <f t="shared" si="49"/>
        <v>1.7395282155758658</v>
      </c>
      <c r="S272">
        <v>1.6823341268163563</v>
      </c>
      <c r="T272">
        <v>70.918829999999957</v>
      </c>
      <c r="U272">
        <v>190.93880400000012</v>
      </c>
      <c r="V272">
        <v>552.75195899999994</v>
      </c>
      <c r="W272">
        <v>0.21713170264856568</v>
      </c>
      <c r="X272">
        <f t="shared" si="50"/>
        <v>0.68381333211272288</v>
      </c>
      <c r="Y272">
        <f t="shared" si="51"/>
        <v>1.7282060973233462</v>
      </c>
      <c r="AA272" s="3">
        <f t="shared" si="52"/>
        <v>720.47501452478764</v>
      </c>
      <c r="AB272" s="6">
        <f t="shared" si="53"/>
        <v>707.0013784601631</v>
      </c>
      <c r="AC272" s="3">
        <f t="shared" si="54"/>
        <v>702.18936557993993</v>
      </c>
      <c r="AD272">
        <f t="shared" si="55"/>
        <v>438.00164947695646</v>
      </c>
      <c r="AE272">
        <f t="shared" si="56"/>
        <v>1.2609341877634561</v>
      </c>
      <c r="AF272">
        <f t="shared" si="57"/>
        <v>4.3139009816413589E-2</v>
      </c>
      <c r="AG272">
        <f t="shared" si="58"/>
        <v>4.3139009816413589E-2</v>
      </c>
    </row>
    <row r="273" spans="1:33" x14ac:dyDescent="0.25">
      <c r="A273">
        <v>292.81</v>
      </c>
      <c r="B273">
        <v>8.2469999999999999</v>
      </c>
      <c r="C273">
        <v>78.872</v>
      </c>
      <c r="D273">
        <v>519.07299999999998</v>
      </c>
      <c r="E273">
        <v>349.81599999999997</v>
      </c>
      <c r="F273">
        <v>2.5230000000000001</v>
      </c>
      <c r="G273">
        <v>80.733999999999995</v>
      </c>
      <c r="H273">
        <v>79.317999999999998</v>
      </c>
      <c r="I273">
        <v>5.4829999999999997</v>
      </c>
      <c r="J273">
        <v>8.1760000000000002</v>
      </c>
      <c r="K273">
        <v>54251.866000000002</v>
      </c>
      <c r="L273">
        <v>20.873000000000001</v>
      </c>
      <c r="N273">
        <v>282.80398499999995</v>
      </c>
      <c r="O273">
        <v>353.78210999999993</v>
      </c>
      <c r="P273">
        <v>909.47200399999986</v>
      </c>
      <c r="Q273">
        <v>715.16496799999982</v>
      </c>
      <c r="R273">
        <f t="shared" si="49"/>
        <v>1.7376795600954509</v>
      </c>
      <c r="S273">
        <v>1.6774909848324966</v>
      </c>
      <c r="T273">
        <v>70.978124999999977</v>
      </c>
      <c r="U273">
        <v>194.30703600000004</v>
      </c>
      <c r="V273">
        <v>555.68989399999987</v>
      </c>
      <c r="W273">
        <v>0.22193837305956132</v>
      </c>
      <c r="X273">
        <f t="shared" si="50"/>
        <v>0.68139248216425019</v>
      </c>
      <c r="Y273">
        <f t="shared" si="51"/>
        <v>1.7623923298011954</v>
      </c>
      <c r="AA273" s="3">
        <f t="shared" si="52"/>
        <v>723.07549070861148</v>
      </c>
      <c r="AB273" s="6">
        <f t="shared" si="53"/>
        <v>709.63014167973029</v>
      </c>
      <c r="AC273" s="3">
        <f t="shared" si="54"/>
        <v>704.82823131227281</v>
      </c>
      <c r="AD273">
        <f t="shared" si="55"/>
        <v>446.07271749868426</v>
      </c>
      <c r="AE273">
        <f t="shared" si="56"/>
        <v>1.2609341877634561</v>
      </c>
      <c r="AF273">
        <f t="shared" si="57"/>
        <v>4.3139009816413589E-2</v>
      </c>
      <c r="AG273">
        <f t="shared" si="58"/>
        <v>4.3139009816413589E-2</v>
      </c>
    </row>
    <row r="274" spans="1:33" x14ac:dyDescent="0.25">
      <c r="A274">
        <v>293.81</v>
      </c>
      <c r="B274">
        <v>8.0649999999999995</v>
      </c>
      <c r="C274">
        <v>78.942999999999998</v>
      </c>
      <c r="D274">
        <v>519.37699999999995</v>
      </c>
      <c r="E274">
        <v>349.33600000000001</v>
      </c>
      <c r="F274">
        <v>2.5350000000000001</v>
      </c>
      <c r="G274">
        <v>80.894999999999996</v>
      </c>
      <c r="H274">
        <v>79.447000000000003</v>
      </c>
      <c r="I274">
        <v>5.3460000000000001</v>
      </c>
      <c r="J274">
        <v>7.7009999999999996</v>
      </c>
      <c r="K274">
        <v>54253.038999999997</v>
      </c>
      <c r="L274">
        <v>21.373000000000001</v>
      </c>
      <c r="N274">
        <v>282.62107499999996</v>
      </c>
      <c r="O274">
        <v>353.85346499999991</v>
      </c>
      <c r="P274">
        <v>909.82099599999981</v>
      </c>
      <c r="Q274">
        <v>714.61392799999999</v>
      </c>
      <c r="R274">
        <f t="shared" si="49"/>
        <v>1.739001273164521</v>
      </c>
      <c r="S274">
        <v>1.6807875346820278</v>
      </c>
      <c r="T274">
        <v>71.232389999999953</v>
      </c>
      <c r="U274">
        <v>195.20706799999982</v>
      </c>
      <c r="V274">
        <v>555.96753099999989</v>
      </c>
      <c r="W274">
        <v>0.22298906156805745</v>
      </c>
      <c r="X274">
        <f t="shared" si="50"/>
        <v>0.67953052769269784</v>
      </c>
      <c r="Y274">
        <f t="shared" si="51"/>
        <v>1.7636080978695625</v>
      </c>
      <c r="AA274" s="3">
        <f t="shared" si="52"/>
        <v>723.10708740836765</v>
      </c>
      <c r="AB274" s="6">
        <f t="shared" si="53"/>
        <v>709.60877107110582</v>
      </c>
      <c r="AC274" s="3">
        <f t="shared" si="54"/>
        <v>704.787943807798</v>
      </c>
      <c r="AD274">
        <f t="shared" si="55"/>
        <v>447.2514755473245</v>
      </c>
      <c r="AE274">
        <f t="shared" si="56"/>
        <v>1.2609341877634561</v>
      </c>
      <c r="AF274">
        <f t="shared" si="57"/>
        <v>4.3139009816413589E-2</v>
      </c>
      <c r="AG274">
        <f t="shared" si="58"/>
        <v>4.3139009816413589E-2</v>
      </c>
    </row>
    <row r="275" spans="1:33" x14ac:dyDescent="0.25">
      <c r="A275">
        <v>294.81</v>
      </c>
      <c r="B275">
        <v>7.9930000000000003</v>
      </c>
      <c r="C275">
        <v>79.016000000000005</v>
      </c>
      <c r="D275">
        <v>517.35900000000004</v>
      </c>
      <c r="E275">
        <v>350.33499999999998</v>
      </c>
      <c r="F275">
        <v>2.5350000000000001</v>
      </c>
      <c r="G275">
        <v>80.552999999999997</v>
      </c>
      <c r="H275">
        <v>79.132999999999996</v>
      </c>
      <c r="I275">
        <v>5.3559999999999999</v>
      </c>
      <c r="J275">
        <v>7.9109999999999996</v>
      </c>
      <c r="K275">
        <v>54222.411999999997</v>
      </c>
      <c r="L275">
        <v>22.195</v>
      </c>
      <c r="N275">
        <v>282.54871499999996</v>
      </c>
      <c r="O275">
        <v>353.92682999999994</v>
      </c>
      <c r="P275">
        <v>907.50433199999998</v>
      </c>
      <c r="Q275">
        <v>715.76077999999984</v>
      </c>
      <c r="R275">
        <f t="shared" si="49"/>
        <v>1.735775923044278</v>
      </c>
      <c r="S275">
        <v>1.6777485852869845</v>
      </c>
      <c r="T275">
        <v>71.37811499999998</v>
      </c>
      <c r="U275">
        <v>191.74355200000014</v>
      </c>
      <c r="V275">
        <v>553.57750200000009</v>
      </c>
      <c r="W275">
        <v>0.21743195228335008</v>
      </c>
      <c r="X275">
        <f t="shared" si="50"/>
        <v>0.67551100946503506</v>
      </c>
      <c r="Y275">
        <f t="shared" si="51"/>
        <v>1.7424275129700635</v>
      </c>
      <c r="AA275" s="3">
        <f t="shared" si="52"/>
        <v>721.49190798047903</v>
      </c>
      <c r="AB275" s="6">
        <f t="shared" si="53"/>
        <v>708.07191786557212</v>
      </c>
      <c r="AC275" s="3">
        <f t="shared" si="54"/>
        <v>703.27906425310539</v>
      </c>
      <c r="AD275">
        <f t="shared" si="55"/>
        <v>440.69441046983314</v>
      </c>
      <c r="AE275">
        <f t="shared" si="56"/>
        <v>1.2609341877634561</v>
      </c>
      <c r="AF275">
        <f t="shared" si="57"/>
        <v>4.3139009816413589E-2</v>
      </c>
      <c r="AG275">
        <f t="shared" si="58"/>
        <v>4.3139009816413589E-2</v>
      </c>
    </row>
    <row r="276" spans="1:33" x14ac:dyDescent="0.25">
      <c r="A276">
        <v>295.81</v>
      </c>
      <c r="B276">
        <v>7.9260000000000002</v>
      </c>
      <c r="C276">
        <v>79.072999999999993</v>
      </c>
      <c r="D276">
        <v>517.25099999999998</v>
      </c>
      <c r="E276">
        <v>349.55200000000002</v>
      </c>
      <c r="F276">
        <v>2.544</v>
      </c>
      <c r="G276">
        <v>81.134</v>
      </c>
      <c r="H276">
        <v>79.725999999999999</v>
      </c>
      <c r="I276">
        <v>5.3339999999999996</v>
      </c>
      <c r="J276">
        <v>8.1010000000000009</v>
      </c>
      <c r="K276">
        <v>54212.245999999999</v>
      </c>
      <c r="L276">
        <v>21.225000000000001</v>
      </c>
      <c r="N276">
        <v>282.48137999999994</v>
      </c>
      <c r="O276">
        <v>353.98411499999992</v>
      </c>
      <c r="P276">
        <v>907.38034799999991</v>
      </c>
      <c r="Q276">
        <v>714.86189599999989</v>
      </c>
      <c r="R276">
        <f t="shared" si="49"/>
        <v>1.7411074648259215</v>
      </c>
      <c r="S276">
        <v>1.6835363948766009</v>
      </c>
      <c r="T276">
        <v>71.502734999999973</v>
      </c>
      <c r="U276">
        <v>192.51845200000002</v>
      </c>
      <c r="V276">
        <v>553.39623299999994</v>
      </c>
      <c r="W276">
        <v>0.21867824496015328</v>
      </c>
      <c r="X276">
        <f t="shared" si="50"/>
        <v>0.67822721658059981</v>
      </c>
      <c r="Y276">
        <f t="shared" si="51"/>
        <v>1.7388720855951705</v>
      </c>
      <c r="AA276" s="3">
        <f t="shared" si="52"/>
        <v>720.96329897515852</v>
      </c>
      <c r="AB276" s="6">
        <f t="shared" si="53"/>
        <v>707.46152377588373</v>
      </c>
      <c r="AC276" s="3">
        <f t="shared" si="54"/>
        <v>702.63946120471428</v>
      </c>
      <c r="AD276">
        <f t="shared" si="55"/>
        <v>441.14381622032181</v>
      </c>
      <c r="AE276">
        <f t="shared" si="56"/>
        <v>1.2609341877634561</v>
      </c>
      <c r="AF276">
        <f t="shared" si="57"/>
        <v>4.3139009816413589E-2</v>
      </c>
      <c r="AG276">
        <f t="shared" si="58"/>
        <v>4.3139009816413589E-2</v>
      </c>
    </row>
    <row r="277" spans="1:33" x14ac:dyDescent="0.25">
      <c r="A277">
        <v>296.81</v>
      </c>
      <c r="B277">
        <v>7.9589999999999996</v>
      </c>
      <c r="C277">
        <v>79.102999999999994</v>
      </c>
      <c r="D277">
        <v>518.03099999999995</v>
      </c>
      <c r="E277">
        <v>349.64499999999998</v>
      </c>
      <c r="F277">
        <v>2.5299999999999998</v>
      </c>
      <c r="G277">
        <v>80.632999999999996</v>
      </c>
      <c r="H277">
        <v>79.173000000000002</v>
      </c>
      <c r="I277">
        <v>5.359</v>
      </c>
      <c r="J277">
        <v>8.7059999999999995</v>
      </c>
      <c r="K277">
        <v>54229.593000000001</v>
      </c>
      <c r="L277">
        <v>20.812999999999999</v>
      </c>
      <c r="N277">
        <v>282.51454499999994</v>
      </c>
      <c r="O277">
        <v>354.01426499999997</v>
      </c>
      <c r="P277">
        <v>908.27578799999981</v>
      </c>
      <c r="Q277">
        <v>714.96865999999989</v>
      </c>
      <c r="R277">
        <f t="shared" si="49"/>
        <v>1.7366122795435253</v>
      </c>
      <c r="S277">
        <v>1.6780697967095051</v>
      </c>
      <c r="T277">
        <v>71.499720000000025</v>
      </c>
      <c r="U277">
        <v>193.30712799999992</v>
      </c>
      <c r="V277">
        <v>554.2615229999999</v>
      </c>
      <c r="W277">
        <v>0.21976522443900534</v>
      </c>
      <c r="X277">
        <f t="shared" si="50"/>
        <v>0.67491723836438544</v>
      </c>
      <c r="Y277">
        <f t="shared" si="51"/>
        <v>1.7545361059303211</v>
      </c>
      <c r="AA277" s="3">
        <f t="shared" si="52"/>
        <v>722.0812991786737</v>
      </c>
      <c r="AB277" s="6">
        <f t="shared" si="53"/>
        <v>708.6452462411936</v>
      </c>
      <c r="AC277" s="3">
        <f t="shared" si="54"/>
        <v>703.84665590637928</v>
      </c>
      <c r="AD277">
        <f t="shared" si="55"/>
        <v>443.97315838886095</v>
      </c>
      <c r="AE277">
        <f t="shared" si="56"/>
        <v>1.2609341877634561</v>
      </c>
      <c r="AF277">
        <f t="shared" si="57"/>
        <v>4.3139009816413589E-2</v>
      </c>
      <c r="AG277">
        <f t="shared" si="58"/>
        <v>4.3139009816413589E-2</v>
      </c>
    </row>
    <row r="278" spans="1:33" x14ac:dyDescent="0.25">
      <c r="A278">
        <v>297.81</v>
      </c>
      <c r="B278">
        <v>7.9740000000000002</v>
      </c>
      <c r="C278">
        <v>79.165999999999997</v>
      </c>
      <c r="D278">
        <v>519.61</v>
      </c>
      <c r="E278">
        <v>349.81</v>
      </c>
      <c r="F278">
        <v>2.544</v>
      </c>
      <c r="G278">
        <v>80.959999999999994</v>
      </c>
      <c r="H278">
        <v>79.495999999999995</v>
      </c>
      <c r="I278">
        <v>5.3719999999999999</v>
      </c>
      <c r="J278">
        <v>8.4789999999999992</v>
      </c>
      <c r="K278">
        <v>54232.642</v>
      </c>
      <c r="L278">
        <v>20.939</v>
      </c>
      <c r="N278">
        <v>282.52961999999991</v>
      </c>
      <c r="O278">
        <v>354.07757999999995</v>
      </c>
      <c r="P278">
        <v>910.08847999999989</v>
      </c>
      <c r="Q278">
        <v>715.15808000000004</v>
      </c>
      <c r="R278">
        <f t="shared" si="49"/>
        <v>1.7394666364905131</v>
      </c>
      <c r="S278">
        <v>1.6808362113307369</v>
      </c>
      <c r="T278">
        <v>71.547960000000046</v>
      </c>
      <c r="U278">
        <v>194.93039999999985</v>
      </c>
      <c r="V278">
        <v>556.01089999999999</v>
      </c>
      <c r="W278">
        <v>0.22190651298382785</v>
      </c>
      <c r="X278">
        <f t="shared" si="50"/>
        <v>0.67666805693292731</v>
      </c>
      <c r="Y278">
        <f t="shared" si="51"/>
        <v>1.7604989644396059</v>
      </c>
      <c r="AA278" s="3">
        <f t="shared" si="52"/>
        <v>723.31605117102924</v>
      </c>
      <c r="AB278" s="6">
        <f t="shared" si="53"/>
        <v>709.8130611209516</v>
      </c>
      <c r="AC278" s="3">
        <f t="shared" si="54"/>
        <v>704.99056467449532</v>
      </c>
      <c r="AD278">
        <f t="shared" si="55"/>
        <v>446.55865049700338</v>
      </c>
      <c r="AE278">
        <f t="shared" si="56"/>
        <v>1.2609341877634561</v>
      </c>
      <c r="AF278">
        <f t="shared" si="57"/>
        <v>4.3139009816413589E-2</v>
      </c>
      <c r="AG278">
        <f t="shared" si="58"/>
        <v>4.3139009816413589E-2</v>
      </c>
    </row>
    <row r="279" spans="1:33" x14ac:dyDescent="0.25">
      <c r="A279">
        <v>298.81</v>
      </c>
      <c r="B279">
        <v>8.1470000000000002</v>
      </c>
      <c r="C279">
        <v>79.260999999999996</v>
      </c>
      <c r="D279">
        <v>520.05100000000004</v>
      </c>
      <c r="E279">
        <v>349.78500000000003</v>
      </c>
      <c r="F279">
        <v>2.5569999999999999</v>
      </c>
      <c r="G279">
        <v>80.869</v>
      </c>
      <c r="H279">
        <v>79.399000000000001</v>
      </c>
      <c r="I279">
        <v>5.3029999999999999</v>
      </c>
      <c r="J279">
        <v>8.0630000000000006</v>
      </c>
      <c r="K279">
        <v>54255.425000000003</v>
      </c>
      <c r="L279">
        <v>21.532</v>
      </c>
      <c r="N279">
        <v>282.70348499999994</v>
      </c>
      <c r="O279">
        <v>354.17305499999992</v>
      </c>
      <c r="P279">
        <v>910.59474799999998</v>
      </c>
      <c r="Q279">
        <v>715.12937999999986</v>
      </c>
      <c r="R279">
        <f t="shared" si="49"/>
        <v>1.7383953911575851</v>
      </c>
      <c r="S279">
        <v>1.6810106338979625</v>
      </c>
      <c r="T279">
        <v>71.469569999999976</v>
      </c>
      <c r="U279">
        <v>195.46536800000013</v>
      </c>
      <c r="V279">
        <v>556.421693</v>
      </c>
      <c r="W279">
        <v>0.22284501046583055</v>
      </c>
      <c r="X279">
        <f t="shared" si="50"/>
        <v>0.67701166016733805</v>
      </c>
      <c r="Y279">
        <f t="shared" si="51"/>
        <v>1.7640188906655694</v>
      </c>
      <c r="AA279" s="3">
        <f t="shared" si="52"/>
        <v>723.70541769716772</v>
      </c>
      <c r="AB279" s="6">
        <f t="shared" si="53"/>
        <v>710.19238780495039</v>
      </c>
      <c r="AC279" s="3">
        <f t="shared" si="54"/>
        <v>705.36630570058696</v>
      </c>
      <c r="AD279">
        <f t="shared" si="55"/>
        <v>447.59687487756906</v>
      </c>
      <c r="AE279">
        <f t="shared" si="56"/>
        <v>1.2609341877634561</v>
      </c>
      <c r="AF279">
        <f t="shared" si="57"/>
        <v>4.3139009816413589E-2</v>
      </c>
      <c r="AG279">
        <f t="shared" si="58"/>
        <v>4.3139009816413589E-2</v>
      </c>
    </row>
    <row r="280" spans="1:33" x14ac:dyDescent="0.25">
      <c r="A280">
        <v>299.81</v>
      </c>
      <c r="B280">
        <v>8.4079999999999995</v>
      </c>
      <c r="C280">
        <v>79.251000000000005</v>
      </c>
      <c r="D280">
        <v>520.06100000000004</v>
      </c>
      <c r="E280">
        <v>350.10300000000001</v>
      </c>
      <c r="F280">
        <v>2.5470000000000002</v>
      </c>
      <c r="G280">
        <v>80.960999999999999</v>
      </c>
      <c r="H280">
        <v>79.509</v>
      </c>
      <c r="I280">
        <v>5.5380000000000003</v>
      </c>
      <c r="J280">
        <v>7.8739999999999997</v>
      </c>
      <c r="K280">
        <v>54270.112000000001</v>
      </c>
      <c r="L280">
        <v>21.367000000000001</v>
      </c>
      <c r="N280">
        <v>282.96578999999997</v>
      </c>
      <c r="O280">
        <v>354.16300499999994</v>
      </c>
      <c r="P280">
        <v>910.60622799999999</v>
      </c>
      <c r="Q280">
        <v>715.49444399999982</v>
      </c>
      <c r="R280">
        <f t="shared" si="49"/>
        <v>1.7394268579026282</v>
      </c>
      <c r="S280">
        <v>1.6783965223133221</v>
      </c>
      <c r="T280">
        <v>71.197214999999971</v>
      </c>
      <c r="U280">
        <v>195.11178400000017</v>
      </c>
      <c r="V280">
        <v>556.44322299999999</v>
      </c>
      <c r="W280">
        <v>0.22269040915248994</v>
      </c>
      <c r="X280">
        <f t="shared" si="50"/>
        <v>0.68102095567753862</v>
      </c>
      <c r="Y280">
        <f t="shared" si="51"/>
        <v>1.765761687515826</v>
      </c>
      <c r="AA280" s="3">
        <f t="shared" si="52"/>
        <v>723.9095983073646</v>
      </c>
      <c r="AB280" s="6">
        <f t="shared" si="53"/>
        <v>710.43432575601878</v>
      </c>
      <c r="AC280" s="3">
        <f t="shared" si="54"/>
        <v>705.62172841625249</v>
      </c>
      <c r="AD280">
        <f t="shared" si="55"/>
        <v>447.40174780148016</v>
      </c>
      <c r="AE280">
        <f t="shared" si="56"/>
        <v>1.2609341877634561</v>
      </c>
      <c r="AF280">
        <f t="shared" si="57"/>
        <v>4.3139009816413589E-2</v>
      </c>
      <c r="AG280">
        <f t="shared" si="58"/>
        <v>4.3139009816413589E-2</v>
      </c>
    </row>
    <row r="281" spans="1:33" x14ac:dyDescent="0.25">
      <c r="A281">
        <v>300.81</v>
      </c>
      <c r="B281">
        <v>8.5779999999999994</v>
      </c>
      <c r="C281">
        <v>79.164000000000001</v>
      </c>
      <c r="D281">
        <v>518.40300000000002</v>
      </c>
      <c r="E281">
        <v>349.887</v>
      </c>
      <c r="F281">
        <v>2.5489999999999999</v>
      </c>
      <c r="G281">
        <v>80.956999999999994</v>
      </c>
      <c r="H281">
        <v>79.436000000000007</v>
      </c>
      <c r="I281">
        <v>5.7389999999999999</v>
      </c>
      <c r="J281">
        <v>8.4689999999999994</v>
      </c>
      <c r="K281">
        <v>54273.856</v>
      </c>
      <c r="L281">
        <v>20.462</v>
      </c>
      <c r="N281">
        <v>283.13663999999994</v>
      </c>
      <c r="O281">
        <v>354.07556999999991</v>
      </c>
      <c r="P281">
        <v>908.70284399999991</v>
      </c>
      <c r="Q281">
        <v>715.24647600000003</v>
      </c>
      <c r="R281">
        <f t="shared" si="49"/>
        <v>1.7393563352789747</v>
      </c>
      <c r="S281">
        <v>1.6746400095204095</v>
      </c>
      <c r="T281">
        <v>70.938929999999971</v>
      </c>
      <c r="U281">
        <v>193.45636799999988</v>
      </c>
      <c r="V281">
        <v>554.62727399999994</v>
      </c>
      <c r="W281">
        <v>0.22090049253510011</v>
      </c>
      <c r="X281">
        <f t="shared" si="50"/>
        <v>0.68385904654166441</v>
      </c>
      <c r="Y281">
        <f t="shared" si="51"/>
        <v>1.7615893025895613</v>
      </c>
      <c r="AA281" s="3">
        <f t="shared" si="52"/>
        <v>722.67683242697888</v>
      </c>
      <c r="AB281" s="6">
        <f t="shared" si="53"/>
        <v>709.28424428778033</v>
      </c>
      <c r="AC281" s="3">
        <f t="shared" si="54"/>
        <v>704.50117709520941</v>
      </c>
      <c r="AD281">
        <f t="shared" si="55"/>
        <v>444.99850885676409</v>
      </c>
      <c r="AE281">
        <f t="shared" si="56"/>
        <v>1.2609341877634561</v>
      </c>
      <c r="AF281">
        <f t="shared" si="57"/>
        <v>4.3139009816413589E-2</v>
      </c>
      <c r="AG281">
        <f t="shared" si="58"/>
        <v>4.3139009816413589E-2</v>
      </c>
    </row>
    <row r="282" spans="1:33" x14ac:dyDescent="0.25">
      <c r="A282">
        <v>301.81</v>
      </c>
      <c r="B282">
        <v>8.6739999999999995</v>
      </c>
      <c r="C282">
        <v>79.253</v>
      </c>
      <c r="D282">
        <v>519.43700000000001</v>
      </c>
      <c r="E282">
        <v>350.22</v>
      </c>
      <c r="F282">
        <v>2.581</v>
      </c>
      <c r="G282">
        <v>81.331000000000003</v>
      </c>
      <c r="H282">
        <v>79.903000000000006</v>
      </c>
      <c r="I282">
        <v>5.383</v>
      </c>
      <c r="J282">
        <v>6.9269999999999996</v>
      </c>
      <c r="K282">
        <v>54292.853000000003</v>
      </c>
      <c r="L282">
        <v>21.361999999999998</v>
      </c>
      <c r="N282">
        <v>283.23311999999993</v>
      </c>
      <c r="O282">
        <v>354.16501499999993</v>
      </c>
      <c r="P282">
        <v>909.88987599999996</v>
      </c>
      <c r="Q282">
        <v>715.62875999999994</v>
      </c>
      <c r="R282">
        <f t="shared" si="49"/>
        <v>1.7423572553049087</v>
      </c>
      <c r="S282">
        <v>1.6844043606439942</v>
      </c>
      <c r="T282">
        <v>70.931894999999997</v>
      </c>
      <c r="U282">
        <v>194.26111600000002</v>
      </c>
      <c r="V282">
        <v>555.72486100000003</v>
      </c>
      <c r="W282">
        <v>0.22192496621093225</v>
      </c>
      <c r="X282">
        <f t="shared" si="50"/>
        <v>0.68646409660684382</v>
      </c>
      <c r="Y282">
        <f t="shared" si="51"/>
        <v>1.7481533271515746</v>
      </c>
      <c r="AA282" s="3">
        <f t="shared" si="52"/>
        <v>722.89274715175645</v>
      </c>
      <c r="AB282" s="6">
        <f t="shared" si="53"/>
        <v>709.34108687570915</v>
      </c>
      <c r="AC282" s="3">
        <f t="shared" si="54"/>
        <v>704.50120820569225</v>
      </c>
      <c r="AD282">
        <f t="shared" si="55"/>
        <v>444.2855112049325</v>
      </c>
      <c r="AE282">
        <f t="shared" si="56"/>
        <v>1.2609341877634561</v>
      </c>
      <c r="AF282">
        <f t="shared" si="57"/>
        <v>4.3139009816413589E-2</v>
      </c>
      <c r="AG282">
        <f t="shared" si="58"/>
        <v>4.3139009816413589E-2</v>
      </c>
    </row>
    <row r="283" spans="1:33" x14ac:dyDescent="0.25">
      <c r="A283">
        <v>302.81</v>
      </c>
      <c r="B283">
        <v>8.6880000000000006</v>
      </c>
      <c r="C283">
        <v>79.287999999999997</v>
      </c>
      <c r="D283">
        <v>519.05700000000002</v>
      </c>
      <c r="E283">
        <v>349.91300000000001</v>
      </c>
      <c r="F283">
        <v>2.5510000000000002</v>
      </c>
      <c r="G283">
        <v>81.430000000000007</v>
      </c>
      <c r="H283">
        <v>80.021000000000001</v>
      </c>
      <c r="I283">
        <v>5.3410000000000002</v>
      </c>
      <c r="J283">
        <v>8.2140000000000004</v>
      </c>
      <c r="K283">
        <v>54338.805999999997</v>
      </c>
      <c r="L283">
        <v>20.960999999999999</v>
      </c>
      <c r="N283">
        <v>283.24718999999993</v>
      </c>
      <c r="O283">
        <v>354.20018999999996</v>
      </c>
      <c r="P283">
        <v>909.45363599999996</v>
      </c>
      <c r="Q283">
        <v>715.27632399999993</v>
      </c>
      <c r="R283">
        <f t="shared" si="49"/>
        <v>1.7437836512621285</v>
      </c>
      <c r="S283">
        <v>1.6861384956036789</v>
      </c>
      <c r="T283">
        <v>70.953000000000031</v>
      </c>
      <c r="U283">
        <v>194.17731200000003</v>
      </c>
      <c r="V283">
        <v>555.25344599999994</v>
      </c>
      <c r="W283">
        <v>0.22192444349098198</v>
      </c>
      <c r="X283">
        <f t="shared" si="50"/>
        <v>0.68738795259088126</v>
      </c>
      <c r="Y283">
        <f t="shared" si="51"/>
        <v>1.7450134413664804</v>
      </c>
      <c r="AA283" s="3">
        <f t="shared" si="52"/>
        <v>722.41746307549704</v>
      </c>
      <c r="AB283" s="6">
        <f t="shared" si="53"/>
        <v>708.84727534017702</v>
      </c>
      <c r="AC283" s="3">
        <f t="shared" si="54"/>
        <v>704.00077972041981</v>
      </c>
      <c r="AD283">
        <f t="shared" si="55"/>
        <v>443.80254188213758</v>
      </c>
      <c r="AE283">
        <f t="shared" si="56"/>
        <v>1.2609341877634561</v>
      </c>
      <c r="AF283">
        <f t="shared" si="57"/>
        <v>4.3139009816413589E-2</v>
      </c>
      <c r="AG283">
        <f t="shared" si="58"/>
        <v>4.3139009816413589E-2</v>
      </c>
    </row>
    <row r="284" spans="1:33" x14ac:dyDescent="0.25">
      <c r="A284">
        <v>303.81</v>
      </c>
      <c r="B284">
        <v>8.548</v>
      </c>
      <c r="C284">
        <v>79.402000000000001</v>
      </c>
      <c r="D284">
        <v>519.73</v>
      </c>
      <c r="E284">
        <v>350.06599999999997</v>
      </c>
      <c r="F284">
        <v>2.5649999999999999</v>
      </c>
      <c r="G284">
        <v>80.775999999999996</v>
      </c>
      <c r="H284">
        <v>79.460999999999999</v>
      </c>
      <c r="I284">
        <v>5.4240000000000004</v>
      </c>
      <c r="J284">
        <v>7.0410000000000004</v>
      </c>
      <c r="K284">
        <v>54365.091</v>
      </c>
      <c r="L284">
        <v>22.097000000000001</v>
      </c>
      <c r="N284">
        <v>283.10648999999995</v>
      </c>
      <c r="O284">
        <v>354.31475999999992</v>
      </c>
      <c r="P284">
        <v>910.22623999999996</v>
      </c>
      <c r="Q284">
        <v>715.45196799999985</v>
      </c>
      <c r="R284">
        <f t="shared" si="49"/>
        <v>1.7373874510913121</v>
      </c>
      <c r="S284">
        <v>1.6797124600638977</v>
      </c>
      <c r="T284">
        <v>71.20826999999997</v>
      </c>
      <c r="U284">
        <v>194.77427200000011</v>
      </c>
      <c r="V284">
        <v>555.91147999999998</v>
      </c>
      <c r="W284">
        <v>0.2222763991130389</v>
      </c>
      <c r="X284">
        <f t="shared" si="50"/>
        <v>0.67969310517151005</v>
      </c>
      <c r="Y284">
        <f t="shared" si="51"/>
        <v>1.7609468343642416</v>
      </c>
      <c r="AA284" s="3">
        <f t="shared" si="52"/>
        <v>723.50931962729976</v>
      </c>
      <c r="AB284" s="6">
        <f t="shared" si="53"/>
        <v>710.02057622149698</v>
      </c>
      <c r="AC284" s="3">
        <f t="shared" si="54"/>
        <v>705.2031678622817</v>
      </c>
      <c r="AD284">
        <f t="shared" si="55"/>
        <v>446.43398952651143</v>
      </c>
      <c r="AE284">
        <f t="shared" si="56"/>
        <v>1.2609341877634561</v>
      </c>
      <c r="AF284">
        <f t="shared" si="57"/>
        <v>4.3139009816413589E-2</v>
      </c>
      <c r="AG284">
        <f t="shared" si="58"/>
        <v>4.3139009816413589E-2</v>
      </c>
    </row>
    <row r="285" spans="1:33" x14ac:dyDescent="0.25">
      <c r="A285">
        <v>304.81</v>
      </c>
      <c r="B285">
        <v>8.4260000000000002</v>
      </c>
      <c r="C285">
        <v>79.385000000000005</v>
      </c>
      <c r="D285">
        <v>523.04999999999995</v>
      </c>
      <c r="E285">
        <v>350.05700000000002</v>
      </c>
      <c r="F285">
        <v>2.56</v>
      </c>
      <c r="G285">
        <v>81.081999999999994</v>
      </c>
      <c r="H285">
        <v>79.653000000000006</v>
      </c>
      <c r="I285">
        <v>5.39</v>
      </c>
      <c r="J285">
        <v>7.3440000000000003</v>
      </c>
      <c r="K285">
        <v>54353.946000000004</v>
      </c>
      <c r="L285">
        <v>21.625</v>
      </c>
      <c r="N285">
        <v>282.98387999999994</v>
      </c>
      <c r="O285">
        <v>354.29767499999991</v>
      </c>
      <c r="P285">
        <v>914.03759999999988</v>
      </c>
      <c r="Q285">
        <v>715.4416359999999</v>
      </c>
      <c r="R285">
        <f t="shared" si="49"/>
        <v>1.7403545163115217</v>
      </c>
      <c r="S285">
        <v>1.6820001836715954</v>
      </c>
      <c r="T285">
        <v>71.313794999999971</v>
      </c>
      <c r="U285">
        <v>198.59596399999998</v>
      </c>
      <c r="V285">
        <v>559.73992499999997</v>
      </c>
      <c r="W285">
        <v>0.22739519429492192</v>
      </c>
      <c r="X285">
        <f t="shared" si="50"/>
        <v>0.68065924521242105</v>
      </c>
      <c r="Y285">
        <f t="shared" si="51"/>
        <v>1.7836282846335989</v>
      </c>
      <c r="AA285" s="3">
        <f t="shared" si="52"/>
        <v>726.3676469962536</v>
      </c>
      <c r="AB285" s="6">
        <f t="shared" si="53"/>
        <v>712.7891339121918</v>
      </c>
      <c r="AC285" s="3">
        <f t="shared" si="54"/>
        <v>707.93966495359837</v>
      </c>
      <c r="AD285">
        <f t="shared" si="55"/>
        <v>453.52020843882184</v>
      </c>
      <c r="AE285">
        <f t="shared" si="56"/>
        <v>1.2609341877634561</v>
      </c>
      <c r="AF285">
        <f t="shared" si="57"/>
        <v>4.3139009816413589E-2</v>
      </c>
      <c r="AG285">
        <f t="shared" si="58"/>
        <v>4.3139009816413589E-2</v>
      </c>
    </row>
    <row r="286" spans="1:33" x14ac:dyDescent="0.25">
      <c r="A286">
        <v>305.81</v>
      </c>
      <c r="B286">
        <v>8.4870000000000001</v>
      </c>
      <c r="C286">
        <v>79.347999999999999</v>
      </c>
      <c r="D286">
        <v>523.82600000000002</v>
      </c>
      <c r="E286">
        <v>350.09800000000001</v>
      </c>
      <c r="F286">
        <v>2.5630000000000002</v>
      </c>
      <c r="G286">
        <v>80.754999999999995</v>
      </c>
      <c r="H286">
        <v>79.450999999999993</v>
      </c>
      <c r="I286">
        <v>5.2530000000000001</v>
      </c>
      <c r="J286">
        <v>8.7439999999999998</v>
      </c>
      <c r="K286">
        <v>54333.574000000001</v>
      </c>
      <c r="L286">
        <v>21.504000000000001</v>
      </c>
      <c r="N286">
        <v>283.04518499999995</v>
      </c>
      <c r="O286">
        <v>354.26048999999995</v>
      </c>
      <c r="P286">
        <v>914.92844799999989</v>
      </c>
      <c r="Q286">
        <v>715.48870399999998</v>
      </c>
      <c r="R286">
        <f t="shared" si="49"/>
        <v>1.7372222169842451</v>
      </c>
      <c r="S286">
        <v>1.6822616387593905</v>
      </c>
      <c r="T286">
        <v>71.215305000000001</v>
      </c>
      <c r="U286">
        <v>199.43974399999991</v>
      </c>
      <c r="V286">
        <v>560.667958</v>
      </c>
      <c r="W286">
        <v>0.22869942391107698</v>
      </c>
      <c r="X286">
        <f t="shared" si="50"/>
        <v>0.67935232674671475</v>
      </c>
      <c r="Y286">
        <f t="shared" si="51"/>
        <v>1.7889616132677604</v>
      </c>
      <c r="AA286" s="3">
        <f t="shared" si="52"/>
        <v>727.05602012322765</v>
      </c>
      <c r="AB286" s="6">
        <f t="shared" si="53"/>
        <v>713.46046848052197</v>
      </c>
      <c r="AC286" s="3">
        <f t="shared" si="54"/>
        <v>708.6049143224127</v>
      </c>
      <c r="AD286">
        <f t="shared" si="55"/>
        <v>455.11298336927098</v>
      </c>
      <c r="AE286">
        <f t="shared" si="56"/>
        <v>1.2609341877634561</v>
      </c>
      <c r="AF286">
        <f t="shared" si="57"/>
        <v>4.3139009816413589E-2</v>
      </c>
      <c r="AG286">
        <f t="shared" si="58"/>
        <v>4.3139009816413589E-2</v>
      </c>
    </row>
    <row r="287" spans="1:33" x14ac:dyDescent="0.25">
      <c r="A287">
        <v>306.81</v>
      </c>
      <c r="B287">
        <v>8.5050000000000008</v>
      </c>
      <c r="C287">
        <v>79.180000000000007</v>
      </c>
      <c r="D287">
        <v>524.00800000000004</v>
      </c>
      <c r="E287">
        <v>349.947</v>
      </c>
      <c r="F287">
        <v>2.5760000000000001</v>
      </c>
      <c r="G287">
        <v>81.225999999999999</v>
      </c>
      <c r="H287">
        <v>79.837000000000003</v>
      </c>
      <c r="I287">
        <v>5.3970000000000002</v>
      </c>
      <c r="J287">
        <v>7.1239999999999997</v>
      </c>
      <c r="K287">
        <v>54317.722000000002</v>
      </c>
      <c r="L287">
        <v>20.922999999999998</v>
      </c>
      <c r="N287">
        <v>283.06327499999992</v>
      </c>
      <c r="O287">
        <v>354.09164999999996</v>
      </c>
      <c r="P287">
        <v>915.137384</v>
      </c>
      <c r="Q287">
        <v>715.31535599999995</v>
      </c>
      <c r="R287">
        <f t="shared" si="49"/>
        <v>1.7414495267544026</v>
      </c>
      <c r="S287">
        <v>1.683581733197425</v>
      </c>
      <c r="T287">
        <v>71.02837500000004</v>
      </c>
      <c r="U287">
        <v>199.82202800000005</v>
      </c>
      <c r="V287">
        <v>561.04573400000004</v>
      </c>
      <c r="W287">
        <v>0.22955998984567627</v>
      </c>
      <c r="X287">
        <f t="shared" si="50"/>
        <v>0.68442525046630043</v>
      </c>
      <c r="Y287">
        <f t="shared" si="51"/>
        <v>1.7894546074685562</v>
      </c>
      <c r="AA287" s="3">
        <f t="shared" si="52"/>
        <v>727.1232980986822</v>
      </c>
      <c r="AB287" s="6">
        <f t="shared" si="53"/>
        <v>713.50543939564818</v>
      </c>
      <c r="AC287" s="3">
        <f t="shared" si="54"/>
        <v>708.64191843027891</v>
      </c>
      <c r="AD287">
        <f t="shared" si="55"/>
        <v>455.60704214532097</v>
      </c>
      <c r="AE287">
        <f t="shared" si="56"/>
        <v>1.2609341877634561</v>
      </c>
      <c r="AF287">
        <f t="shared" si="57"/>
        <v>4.3139009816413589E-2</v>
      </c>
      <c r="AG287">
        <f t="shared" si="58"/>
        <v>4.3139009816413589E-2</v>
      </c>
    </row>
    <row r="288" spans="1:33" x14ac:dyDescent="0.25">
      <c r="A288">
        <v>307.81</v>
      </c>
      <c r="B288">
        <v>8.3520000000000003</v>
      </c>
      <c r="C288">
        <v>79.28</v>
      </c>
      <c r="D288">
        <v>526.279</v>
      </c>
      <c r="E288">
        <v>349.64400000000001</v>
      </c>
      <c r="F288">
        <v>2.5419999999999998</v>
      </c>
      <c r="G288">
        <v>81.225999999999999</v>
      </c>
      <c r="H288">
        <v>79.766000000000005</v>
      </c>
      <c r="I288">
        <v>5.3150000000000004</v>
      </c>
      <c r="J288">
        <v>8.0920000000000005</v>
      </c>
      <c r="K288">
        <v>54325.438000000002</v>
      </c>
      <c r="L288">
        <v>21.164000000000001</v>
      </c>
      <c r="N288">
        <v>282.9095099999999</v>
      </c>
      <c r="O288">
        <v>354.19214999999991</v>
      </c>
      <c r="P288">
        <v>917.74449199999992</v>
      </c>
      <c r="Q288">
        <v>714.96751199999994</v>
      </c>
      <c r="R288">
        <f t="shared" si="49"/>
        <v>1.7420078836687349</v>
      </c>
      <c r="S288">
        <v>1.6841979506501863</v>
      </c>
      <c r="T288">
        <v>71.282640000000015</v>
      </c>
      <c r="U288">
        <v>202.77697999999998</v>
      </c>
      <c r="V288">
        <v>563.55234199999995</v>
      </c>
      <c r="W288">
        <v>0.23333119250882287</v>
      </c>
      <c r="X288">
        <f t="shared" si="50"/>
        <v>0.68203941120555334</v>
      </c>
      <c r="Y288">
        <f t="shared" si="51"/>
        <v>1.8095680547939861</v>
      </c>
      <c r="AA288" s="3">
        <f t="shared" si="52"/>
        <v>729.14858160784468</v>
      </c>
      <c r="AB288" s="6">
        <f t="shared" si="53"/>
        <v>715.48294469825885</v>
      </c>
      <c r="AC288" s="3">
        <f t="shared" si="54"/>
        <v>710.60236008769255</v>
      </c>
      <c r="AD288">
        <f t="shared" si="55"/>
        <v>461.31747964628693</v>
      </c>
      <c r="AE288">
        <f t="shared" si="56"/>
        <v>1.2609341877634561</v>
      </c>
      <c r="AF288">
        <f t="shared" si="57"/>
        <v>4.3139009816413589E-2</v>
      </c>
      <c r="AG288">
        <f t="shared" si="58"/>
        <v>4.3139009816413589E-2</v>
      </c>
    </row>
    <row r="289" spans="1:33" x14ac:dyDescent="0.25">
      <c r="A289">
        <v>308.81</v>
      </c>
      <c r="B289">
        <v>8.2240000000000002</v>
      </c>
      <c r="C289">
        <v>79.298000000000002</v>
      </c>
      <c r="D289">
        <v>526.16899999999998</v>
      </c>
      <c r="E289">
        <v>349.49200000000002</v>
      </c>
      <c r="F289">
        <v>2.5270000000000001</v>
      </c>
      <c r="G289">
        <v>80.778000000000006</v>
      </c>
      <c r="H289">
        <v>79.391999999999996</v>
      </c>
      <c r="I289">
        <v>5.4619999999999997</v>
      </c>
      <c r="J289">
        <v>8.2520000000000007</v>
      </c>
      <c r="K289">
        <v>54312.482000000004</v>
      </c>
      <c r="L289">
        <v>21.318000000000001</v>
      </c>
      <c r="N289">
        <v>282.78086999999994</v>
      </c>
      <c r="O289">
        <v>354.21023999999994</v>
      </c>
      <c r="P289">
        <v>917.61821199999986</v>
      </c>
      <c r="Q289">
        <v>714.79301599999997</v>
      </c>
      <c r="R289">
        <f t="shared" si="49"/>
        <v>1.7380289926150887</v>
      </c>
      <c r="S289">
        <v>1.6784934197243075</v>
      </c>
      <c r="T289">
        <v>71.429370000000006</v>
      </c>
      <c r="U289">
        <v>202.82519599999989</v>
      </c>
      <c r="V289">
        <v>563.40797199999997</v>
      </c>
      <c r="W289">
        <v>0.23321612850731885</v>
      </c>
      <c r="X289">
        <f t="shared" si="50"/>
        <v>0.67729887546947398</v>
      </c>
      <c r="Y289">
        <f t="shared" si="51"/>
        <v>1.821351366852189</v>
      </c>
      <c r="AA289" s="3">
        <f t="shared" si="52"/>
        <v>729.47666078137331</v>
      </c>
      <c r="AB289" s="6">
        <f t="shared" si="53"/>
        <v>715.89620593330699</v>
      </c>
      <c r="AC289" s="3">
        <f t="shared" si="54"/>
        <v>711.04604348756902</v>
      </c>
      <c r="AD289">
        <f t="shared" si="55"/>
        <v>462.72200814622244</v>
      </c>
      <c r="AE289">
        <f t="shared" si="56"/>
        <v>1.2609341877634561</v>
      </c>
      <c r="AF289">
        <f t="shared" si="57"/>
        <v>4.3139009816413589E-2</v>
      </c>
      <c r="AG289">
        <f t="shared" si="58"/>
        <v>4.3139009816413589E-2</v>
      </c>
    </row>
    <row r="290" spans="1:33" x14ac:dyDescent="0.25">
      <c r="A290">
        <v>309.81099999999998</v>
      </c>
      <c r="B290">
        <v>8.0419999999999998</v>
      </c>
      <c r="C290">
        <v>79.37</v>
      </c>
      <c r="D290">
        <v>523.19500000000005</v>
      </c>
      <c r="E290">
        <v>349.089</v>
      </c>
      <c r="F290">
        <v>2.5569999999999999</v>
      </c>
      <c r="G290">
        <v>80.77</v>
      </c>
      <c r="H290">
        <v>79.387</v>
      </c>
      <c r="I290">
        <v>5.4039999999999999</v>
      </c>
      <c r="J290">
        <v>8.1389999999999993</v>
      </c>
      <c r="K290">
        <v>54271.324999999997</v>
      </c>
      <c r="L290">
        <v>21.356000000000002</v>
      </c>
      <c r="N290">
        <v>282.59795999999994</v>
      </c>
      <c r="O290">
        <v>354.28259999999995</v>
      </c>
      <c r="P290">
        <v>914.20405999999991</v>
      </c>
      <c r="Q290">
        <v>714.33037200000001</v>
      </c>
      <c r="R290">
        <f t="shared" si="49"/>
        <v>1.7374619308485058</v>
      </c>
      <c r="S290">
        <v>1.6793414383310072</v>
      </c>
      <c r="T290">
        <v>71.684640000000002</v>
      </c>
      <c r="U290">
        <v>199.8736879999999</v>
      </c>
      <c r="V290">
        <v>559.92146000000002</v>
      </c>
      <c r="W290">
        <v>0.22894112327825386</v>
      </c>
      <c r="X290">
        <f t="shared" si="50"/>
        <v>0.67402005617794758</v>
      </c>
      <c r="Y290">
        <f t="shared" si="51"/>
        <v>1.7999058530392351</v>
      </c>
      <c r="AB290" s="6">
        <f t="shared" si="53"/>
        <v>713.15667115092651</v>
      </c>
      <c r="AC290" s="3">
        <f t="shared" si="54"/>
        <v>708.32014040388731</v>
      </c>
      <c r="AD290">
        <f t="shared" si="55"/>
        <v>456.88835940799277</v>
      </c>
      <c r="AE290">
        <f t="shared" si="56"/>
        <v>1.2609341877634561</v>
      </c>
      <c r="AF290">
        <f t="shared" si="57"/>
        <v>4.3139009816413589E-2</v>
      </c>
      <c r="AG290">
        <f t="shared" si="58"/>
        <v>4.3139009816413589E-2</v>
      </c>
    </row>
    <row r="291" spans="1:33" x14ac:dyDescent="0.25">
      <c r="A291">
        <v>310.81099999999998</v>
      </c>
      <c r="B291">
        <v>7.8639999999999999</v>
      </c>
      <c r="C291">
        <v>79.513000000000005</v>
      </c>
      <c r="D291">
        <v>520.85699999999997</v>
      </c>
      <c r="E291">
        <v>349.57799999999997</v>
      </c>
      <c r="F291">
        <v>2.5299999999999998</v>
      </c>
      <c r="G291">
        <v>80.792000000000002</v>
      </c>
      <c r="H291">
        <v>79.325000000000003</v>
      </c>
      <c r="I291">
        <v>5.3869999999999996</v>
      </c>
      <c r="J291">
        <v>7.76</v>
      </c>
      <c r="K291">
        <v>54246.512000000002</v>
      </c>
      <c r="L291">
        <v>21.713000000000001</v>
      </c>
      <c r="N291">
        <v>282.41906999999992</v>
      </c>
      <c r="O291">
        <v>354.42631499999999</v>
      </c>
      <c r="P291">
        <v>911.52003599999989</v>
      </c>
      <c r="Q291">
        <v>714.8917439999999</v>
      </c>
      <c r="R291">
        <f t="shared" si="49"/>
        <v>1.7381118551353389</v>
      </c>
      <c r="S291">
        <v>1.6790342281447739</v>
      </c>
      <c r="T291">
        <v>72.007245000000069</v>
      </c>
      <c r="U291">
        <v>196.62829199999999</v>
      </c>
      <c r="V291">
        <v>557.09372099999996</v>
      </c>
      <c r="W291">
        <v>0.22369853096944153</v>
      </c>
      <c r="X291">
        <f t="shared" si="50"/>
        <v>0.67106635223450373</v>
      </c>
      <c r="Y291">
        <f t="shared" si="51"/>
        <v>1.7764814711121768</v>
      </c>
      <c r="AB291" s="6">
        <f t="shared" si="53"/>
        <v>711.09032318952802</v>
      </c>
      <c r="AC291" s="3">
        <f t="shared" si="54"/>
        <v>706.26958616566344</v>
      </c>
      <c r="AD291">
        <f t="shared" si="55"/>
        <v>450.4219067087617</v>
      </c>
      <c r="AE291">
        <f t="shared" si="56"/>
        <v>1.2609341877634561</v>
      </c>
      <c r="AF291">
        <f t="shared" si="57"/>
        <v>4.3139009816413589E-2</v>
      </c>
      <c r="AG291">
        <f t="shared" si="58"/>
        <v>4.3139009816413589E-2</v>
      </c>
    </row>
    <row r="292" spans="1:33" x14ac:dyDescent="0.25">
      <c r="A292">
        <v>311.81099999999998</v>
      </c>
      <c r="B292">
        <v>7.7729999999999997</v>
      </c>
      <c r="C292">
        <v>79.542000000000002</v>
      </c>
      <c r="D292">
        <v>518.37</v>
      </c>
      <c r="E292">
        <v>349.07900000000001</v>
      </c>
      <c r="F292">
        <v>2.5230000000000001</v>
      </c>
      <c r="G292">
        <v>80.382999999999996</v>
      </c>
      <c r="H292">
        <v>78.98</v>
      </c>
      <c r="I292">
        <v>5.4059999999999997</v>
      </c>
      <c r="J292">
        <v>8.4789999999999992</v>
      </c>
      <c r="K292">
        <v>54221.764999999999</v>
      </c>
      <c r="L292">
        <v>21.010999999999999</v>
      </c>
      <c r="N292">
        <v>282.32761499999998</v>
      </c>
      <c r="O292">
        <v>354.45545999999996</v>
      </c>
      <c r="P292">
        <v>908.66495999999995</v>
      </c>
      <c r="Q292">
        <v>714.31889200000001</v>
      </c>
      <c r="R292">
        <f t="shared" si="49"/>
        <v>1.734368957678994</v>
      </c>
      <c r="S292">
        <v>1.6755734302976879</v>
      </c>
      <c r="T292">
        <v>72.127844999999979</v>
      </c>
      <c r="U292">
        <v>194.34606799999995</v>
      </c>
      <c r="V292">
        <v>554.20949999999993</v>
      </c>
      <c r="W292">
        <v>0.22052711655069063</v>
      </c>
      <c r="X292">
        <f t="shared" si="50"/>
        <v>0.66690481967253334</v>
      </c>
      <c r="Y292">
        <f t="shared" si="51"/>
        <v>1.7679743869965949</v>
      </c>
      <c r="AB292" s="6">
        <f t="shared" si="53"/>
        <v>709.17137488935782</v>
      </c>
      <c r="AC292" s="3">
        <f t="shared" si="54"/>
        <v>704.38366412711116</v>
      </c>
      <c r="AD292">
        <f t="shared" si="55"/>
        <v>446.78819673975886</v>
      </c>
      <c r="AE292">
        <f t="shared" si="56"/>
        <v>1.2609341877634561</v>
      </c>
      <c r="AF292">
        <f t="shared" si="57"/>
        <v>4.3139009816413589E-2</v>
      </c>
      <c r="AG292">
        <f t="shared" si="58"/>
        <v>4.3139009816413589E-2</v>
      </c>
    </row>
    <row r="293" spans="1:33" x14ac:dyDescent="0.25">
      <c r="A293">
        <v>312.81099999999998</v>
      </c>
      <c r="B293">
        <v>7.6109999999999998</v>
      </c>
      <c r="C293">
        <v>79.456999999999994</v>
      </c>
      <c r="D293">
        <v>517.70699999999999</v>
      </c>
      <c r="E293">
        <v>349.11099999999999</v>
      </c>
      <c r="F293">
        <v>2.536</v>
      </c>
      <c r="G293">
        <v>80.575999999999993</v>
      </c>
      <c r="H293">
        <v>79.054000000000002</v>
      </c>
      <c r="I293">
        <v>5.4029999999999996</v>
      </c>
      <c r="J293">
        <v>7.1550000000000002</v>
      </c>
      <c r="K293">
        <v>54177.663999999997</v>
      </c>
      <c r="L293">
        <v>21.027000000000001</v>
      </c>
      <c r="N293">
        <v>282.16480499999994</v>
      </c>
      <c r="O293">
        <v>354.37003499999992</v>
      </c>
      <c r="P293">
        <v>907.90383599999984</v>
      </c>
      <c r="Q293">
        <v>714.35562799999991</v>
      </c>
      <c r="R293">
        <f t="shared" si="49"/>
        <v>1.7359764608246255</v>
      </c>
      <c r="S293">
        <v>1.6762990918523824</v>
      </c>
      <c r="T293">
        <v>72.205229999999972</v>
      </c>
      <c r="U293">
        <v>193.54820799999993</v>
      </c>
      <c r="V293">
        <v>553.53380099999993</v>
      </c>
      <c r="W293">
        <v>0.21921511889749976</v>
      </c>
      <c r="X293">
        <f t="shared" si="50"/>
        <v>0.66701666347991317</v>
      </c>
      <c r="Y293">
        <f t="shared" si="51"/>
        <v>1.7608084484063571</v>
      </c>
      <c r="AB293" s="6">
        <f t="shared" si="53"/>
        <v>708.51268814073592</v>
      </c>
      <c r="AC293" s="3">
        <f t="shared" si="54"/>
        <v>703.72522814891818</v>
      </c>
      <c r="AD293">
        <f t="shared" si="55"/>
        <v>445.00997288951822</v>
      </c>
      <c r="AE293">
        <f t="shared" si="56"/>
        <v>1.2609341877634561</v>
      </c>
      <c r="AF293">
        <f t="shared" si="57"/>
        <v>4.3139009816413589E-2</v>
      </c>
      <c r="AG293">
        <f t="shared" si="58"/>
        <v>4.3139009816413589E-2</v>
      </c>
    </row>
    <row r="294" spans="1:33" x14ac:dyDescent="0.25">
      <c r="A294">
        <v>313.81099999999998</v>
      </c>
      <c r="B294">
        <v>7.673</v>
      </c>
      <c r="C294">
        <v>79.519000000000005</v>
      </c>
      <c r="D294">
        <v>518.26900000000001</v>
      </c>
      <c r="E294">
        <v>348.74599999999998</v>
      </c>
      <c r="F294">
        <v>2.528</v>
      </c>
      <c r="G294">
        <v>80.784000000000006</v>
      </c>
      <c r="H294">
        <v>79.37</v>
      </c>
      <c r="I294">
        <v>5.3220000000000001</v>
      </c>
      <c r="J294">
        <v>7.984</v>
      </c>
      <c r="K294">
        <v>54170.701000000001</v>
      </c>
      <c r="L294">
        <v>21.300999999999998</v>
      </c>
      <c r="N294">
        <v>282.22711499999997</v>
      </c>
      <c r="O294">
        <v>354.43234499999994</v>
      </c>
      <c r="P294">
        <v>908.54901199999995</v>
      </c>
      <c r="Q294">
        <v>713.93660799999986</v>
      </c>
      <c r="R294">
        <f t="shared" si="49"/>
        <v>1.7380691892707585</v>
      </c>
      <c r="S294">
        <v>1.6804506441712155</v>
      </c>
      <c r="T294">
        <v>72.205229999999972</v>
      </c>
      <c r="U294">
        <v>194.61240400000008</v>
      </c>
      <c r="V294">
        <v>554.11666700000001</v>
      </c>
      <c r="W294">
        <v>0.22090505716551584</v>
      </c>
      <c r="X294">
        <f t="shared" si="50"/>
        <v>0.66873933954263276</v>
      </c>
      <c r="Y294">
        <f t="shared" si="51"/>
        <v>1.7613339497605787</v>
      </c>
      <c r="AB294" s="6">
        <f t="shared" si="53"/>
        <v>708.64663305628812</v>
      </c>
      <c r="AC294" s="3">
        <f t="shared" si="54"/>
        <v>703.83428614095601</v>
      </c>
      <c r="AD294">
        <f t="shared" si="55"/>
        <v>446.29525372474848</v>
      </c>
      <c r="AE294">
        <f t="shared" si="56"/>
        <v>1.2609341877634561</v>
      </c>
      <c r="AF294">
        <f t="shared" si="57"/>
        <v>4.3139009816413589E-2</v>
      </c>
      <c r="AG294">
        <f t="shared" si="58"/>
        <v>4.3139009816413589E-2</v>
      </c>
    </row>
    <row r="295" spans="1:33" x14ac:dyDescent="0.25">
      <c r="A295">
        <v>314.81099999999998</v>
      </c>
      <c r="B295">
        <v>7.8259999999999996</v>
      </c>
      <c r="C295">
        <v>79.498999999999995</v>
      </c>
      <c r="D295">
        <v>520.36900000000003</v>
      </c>
      <c r="E295">
        <v>348.76299999999998</v>
      </c>
      <c r="F295">
        <v>2.5430000000000001</v>
      </c>
      <c r="G295">
        <v>80.858000000000004</v>
      </c>
      <c r="H295">
        <v>79.38</v>
      </c>
      <c r="I295">
        <v>5.351</v>
      </c>
      <c r="J295">
        <v>8.1750000000000007</v>
      </c>
      <c r="K295">
        <v>54191.112999999998</v>
      </c>
      <c r="L295">
        <v>21.477</v>
      </c>
      <c r="N295">
        <v>282.38087999999999</v>
      </c>
      <c r="O295">
        <v>354.41224499999998</v>
      </c>
      <c r="P295">
        <v>910.95981199999994</v>
      </c>
      <c r="Q295">
        <v>713.95612399999993</v>
      </c>
      <c r="R295">
        <f t="shared" si="49"/>
        <v>1.7385211659421178</v>
      </c>
      <c r="S295">
        <v>1.6800948084996923</v>
      </c>
      <c r="T295">
        <v>72.031364999999994</v>
      </c>
      <c r="U295">
        <v>197.00368800000001</v>
      </c>
      <c r="V295">
        <v>556.54756699999996</v>
      </c>
      <c r="W295">
        <v>0.22454922168404703</v>
      </c>
      <c r="X295">
        <f t="shared" si="50"/>
        <v>0.67105980037430046</v>
      </c>
      <c r="Y295">
        <f t="shared" si="51"/>
        <v>1.7789374270328027</v>
      </c>
      <c r="AB295" s="6">
        <f t="shared" si="53"/>
        <v>710.55871271987928</v>
      </c>
      <c r="AC295" s="3">
        <f t="shared" si="54"/>
        <v>705.73544020359327</v>
      </c>
      <c r="AD295">
        <f t="shared" si="55"/>
        <v>451.14360951347055</v>
      </c>
      <c r="AE295">
        <f t="shared" si="56"/>
        <v>1.2609341877634561</v>
      </c>
      <c r="AF295">
        <f t="shared" si="57"/>
        <v>4.3139009816413589E-2</v>
      </c>
      <c r="AG295">
        <f t="shared" si="58"/>
        <v>4.3139009816413589E-2</v>
      </c>
    </row>
    <row r="296" spans="1:33" x14ac:dyDescent="0.25">
      <c r="A296">
        <v>315.81200000000001</v>
      </c>
      <c r="B296">
        <v>8.1349999999999998</v>
      </c>
      <c r="C296">
        <v>79.468000000000004</v>
      </c>
      <c r="D296">
        <v>520.08600000000001</v>
      </c>
      <c r="E296">
        <v>348.851</v>
      </c>
      <c r="F296">
        <v>2.532</v>
      </c>
      <c r="G296">
        <v>80.801000000000002</v>
      </c>
      <c r="H296">
        <v>79.369</v>
      </c>
      <c r="I296">
        <v>5.1580000000000004</v>
      </c>
      <c r="J296">
        <v>7.9870000000000001</v>
      </c>
      <c r="K296">
        <v>54204.125999999997</v>
      </c>
      <c r="L296">
        <v>20.533000000000001</v>
      </c>
      <c r="N296">
        <v>282.69142499999992</v>
      </c>
      <c r="O296">
        <v>354.38108999999997</v>
      </c>
      <c r="P296">
        <v>910.63492799999995</v>
      </c>
      <c r="Q296">
        <v>714.05714799999987</v>
      </c>
      <c r="R296">
        <f t="shared" si="49"/>
        <v>1.7381639505055078</v>
      </c>
      <c r="S296">
        <v>1.6829777835042059</v>
      </c>
      <c r="T296">
        <v>71.689665000000048</v>
      </c>
      <c r="U296">
        <v>196.57778000000008</v>
      </c>
      <c r="V296">
        <v>556.25383799999997</v>
      </c>
      <c r="W296">
        <v>0.22451641043778298</v>
      </c>
      <c r="X296">
        <f t="shared" si="50"/>
        <v>0.67472869255832035</v>
      </c>
      <c r="Y296">
        <f t="shared" si="51"/>
        <v>1.7702472620017127</v>
      </c>
      <c r="AB296" s="6">
        <f t="shared" si="53"/>
        <v>710.0486943840134</v>
      </c>
      <c r="AC296" s="3">
        <f t="shared" si="54"/>
        <v>705.21222312726991</v>
      </c>
      <c r="AD296">
        <f t="shared" si="55"/>
        <v>449.61929040655588</v>
      </c>
      <c r="AE296">
        <f t="shared" si="56"/>
        <v>1.2609341877634561</v>
      </c>
      <c r="AF296">
        <f t="shared" si="57"/>
        <v>4.3139009816413589E-2</v>
      </c>
      <c r="AG296">
        <f t="shared" si="58"/>
        <v>4.3139009816413589E-2</v>
      </c>
    </row>
    <row r="297" spans="1:33" x14ac:dyDescent="0.25">
      <c r="A297">
        <v>316.81200000000001</v>
      </c>
      <c r="B297">
        <v>8.3859999999999992</v>
      </c>
      <c r="C297">
        <v>79.45</v>
      </c>
      <c r="D297">
        <v>520.57600000000002</v>
      </c>
      <c r="E297">
        <v>349.56299999999999</v>
      </c>
      <c r="F297">
        <v>2.5670000000000002</v>
      </c>
      <c r="G297">
        <v>80.248999999999995</v>
      </c>
      <c r="H297">
        <v>79.004000000000005</v>
      </c>
      <c r="I297">
        <v>5.57</v>
      </c>
      <c r="J297">
        <v>7.1159999999999997</v>
      </c>
      <c r="K297">
        <v>54217.591999999997</v>
      </c>
      <c r="L297">
        <v>21.488</v>
      </c>
      <c r="N297">
        <v>282.94367999999997</v>
      </c>
      <c r="O297">
        <v>354.36299999999994</v>
      </c>
      <c r="P297">
        <v>911.19744799999989</v>
      </c>
      <c r="Q297">
        <v>714.87452399999995</v>
      </c>
      <c r="R297">
        <f t="shared" si="49"/>
        <v>1.732386133293107</v>
      </c>
      <c r="S297">
        <v>1.6732740441918037</v>
      </c>
      <c r="T297">
        <v>71.419319999999971</v>
      </c>
      <c r="U297">
        <v>196.32292399999994</v>
      </c>
      <c r="V297">
        <v>556.83444799999995</v>
      </c>
      <c r="W297">
        <v>0.22431012385929108</v>
      </c>
      <c r="X297">
        <f t="shared" si="50"/>
        <v>0.67347544984188856</v>
      </c>
      <c r="Y297">
        <f t="shared" si="51"/>
        <v>1.7854455234961313</v>
      </c>
      <c r="AB297" s="6">
        <f t="shared" si="53"/>
        <v>711.35374161150776</v>
      </c>
      <c r="AC297" s="3">
        <f t="shared" si="54"/>
        <v>706.56465682147916</v>
      </c>
      <c r="AD297">
        <f t="shared" si="55"/>
        <v>451.13095963369869</v>
      </c>
      <c r="AE297">
        <f t="shared" si="56"/>
        <v>1.2609341877634561</v>
      </c>
      <c r="AF297">
        <f t="shared" si="57"/>
        <v>4.3139009816413589E-2</v>
      </c>
      <c r="AG297">
        <f t="shared" si="58"/>
        <v>4.3139009816413589E-2</v>
      </c>
    </row>
    <row r="298" spans="1:33" x14ac:dyDescent="0.25">
      <c r="A298">
        <v>317.81200000000001</v>
      </c>
      <c r="B298">
        <v>8.5210000000000008</v>
      </c>
      <c r="C298">
        <v>79.331999999999994</v>
      </c>
      <c r="D298">
        <v>516.73599999999999</v>
      </c>
      <c r="E298">
        <v>349.35199999999998</v>
      </c>
      <c r="F298">
        <v>2.5419999999999998</v>
      </c>
      <c r="G298">
        <v>80.593000000000004</v>
      </c>
      <c r="H298">
        <v>79.144000000000005</v>
      </c>
      <c r="I298">
        <v>5.3159999999999998</v>
      </c>
      <c r="J298">
        <v>7.8730000000000002</v>
      </c>
      <c r="K298">
        <v>54191.906000000003</v>
      </c>
      <c r="L298">
        <v>21.257000000000001</v>
      </c>
      <c r="N298">
        <v>283.07935499999996</v>
      </c>
      <c r="O298">
        <v>354.24440999999996</v>
      </c>
      <c r="P298">
        <v>906.78912799999989</v>
      </c>
      <c r="Q298">
        <v>714.63229599999988</v>
      </c>
      <c r="R298">
        <f t="shared" si="49"/>
        <v>1.7360385507629055</v>
      </c>
      <c r="S298">
        <v>1.678466401999706</v>
      </c>
      <c r="T298">
        <v>71.165054999999995</v>
      </c>
      <c r="U298">
        <v>192.15683200000001</v>
      </c>
      <c r="V298">
        <v>552.54471799999988</v>
      </c>
      <c r="W298">
        <v>0.21897191857691425</v>
      </c>
      <c r="X298">
        <f t="shared" si="50"/>
        <v>0.67900714261291029</v>
      </c>
      <c r="Y298">
        <f t="shared" si="51"/>
        <v>1.7462082097918303</v>
      </c>
      <c r="AB298" s="6">
        <f t="shared" si="53"/>
        <v>707.45010307041184</v>
      </c>
      <c r="AC298" s="3">
        <f t="shared" si="54"/>
        <v>702.6573183652032</v>
      </c>
      <c r="AD298">
        <f t="shared" si="55"/>
        <v>441.63428835368489</v>
      </c>
      <c r="AE298">
        <f t="shared" si="56"/>
        <v>1.2609341877634561</v>
      </c>
      <c r="AF298">
        <f t="shared" si="57"/>
        <v>4.3139009816413589E-2</v>
      </c>
      <c r="AG298">
        <f t="shared" si="58"/>
        <v>4.3139009816413589E-2</v>
      </c>
    </row>
    <row r="299" spans="1:33" x14ac:dyDescent="0.25">
      <c r="A299">
        <v>318.81200000000001</v>
      </c>
      <c r="B299">
        <v>8.5670000000000002</v>
      </c>
      <c r="C299">
        <v>79.344999999999999</v>
      </c>
      <c r="D299">
        <v>514.94799999999998</v>
      </c>
      <c r="E299">
        <v>349.86900000000003</v>
      </c>
      <c r="F299">
        <v>2.5209999999999999</v>
      </c>
      <c r="G299">
        <v>80.802999999999997</v>
      </c>
      <c r="H299">
        <v>79.304000000000002</v>
      </c>
      <c r="I299">
        <v>5.2670000000000003</v>
      </c>
      <c r="J299">
        <v>8.7059999999999995</v>
      </c>
      <c r="K299">
        <v>54182.71</v>
      </c>
      <c r="L299">
        <v>21.405999999999999</v>
      </c>
      <c r="N299">
        <v>283.12558499999994</v>
      </c>
      <c r="O299">
        <v>354.25747499999994</v>
      </c>
      <c r="P299">
        <v>904.73650399999985</v>
      </c>
      <c r="Q299">
        <v>715.22581199999991</v>
      </c>
      <c r="R299">
        <f t="shared" si="49"/>
        <v>1.7383631544693976</v>
      </c>
      <c r="S299">
        <v>1.6806935927257349</v>
      </c>
      <c r="T299">
        <v>71.131889999999999</v>
      </c>
      <c r="U299">
        <v>189.51069199999995</v>
      </c>
      <c r="V299">
        <v>550.47902899999985</v>
      </c>
      <c r="W299">
        <v>0.21504688782613005</v>
      </c>
      <c r="X299">
        <f t="shared" si="50"/>
        <v>0.68121653117081526</v>
      </c>
      <c r="Y299">
        <f t="shared" si="51"/>
        <v>1.7219394981219287</v>
      </c>
      <c r="AB299" s="6">
        <f t="shared" si="53"/>
        <v>705.65146796165573</v>
      </c>
      <c r="AC299" s="3">
        <f t="shared" si="54"/>
        <v>700.85806493617065</v>
      </c>
      <c r="AD299">
        <f t="shared" si="55"/>
        <v>435.57335368449884</v>
      </c>
      <c r="AE299">
        <f t="shared" si="56"/>
        <v>1.2609341877634561</v>
      </c>
      <c r="AF299">
        <f t="shared" si="57"/>
        <v>4.3139009816413589E-2</v>
      </c>
      <c r="AG299">
        <f t="shared" si="58"/>
        <v>4.3139009816413589E-2</v>
      </c>
    </row>
    <row r="300" spans="1:33" x14ac:dyDescent="0.25">
      <c r="A300">
        <v>319.81200000000001</v>
      </c>
      <c r="B300">
        <v>8.593</v>
      </c>
      <c r="C300">
        <v>79.272000000000006</v>
      </c>
      <c r="D300">
        <v>513.29300000000001</v>
      </c>
      <c r="E300">
        <v>349.70100000000002</v>
      </c>
      <c r="F300">
        <v>2.5129999999999999</v>
      </c>
      <c r="G300">
        <v>80.417000000000002</v>
      </c>
      <c r="H300">
        <v>79.031000000000006</v>
      </c>
      <c r="I300">
        <v>5.3630000000000004</v>
      </c>
      <c r="J300">
        <v>7.5330000000000004</v>
      </c>
      <c r="K300">
        <v>54181.796999999999</v>
      </c>
      <c r="L300">
        <v>20.960999999999999</v>
      </c>
      <c r="N300">
        <v>283.15171499999997</v>
      </c>
      <c r="O300">
        <v>354.18410999999992</v>
      </c>
      <c r="P300">
        <v>902.83656399999995</v>
      </c>
      <c r="Q300">
        <v>715.03294799999992</v>
      </c>
      <c r="R300">
        <f t="shared" si="49"/>
        <v>1.7348532727118371</v>
      </c>
      <c r="S300">
        <v>1.6767037469112556</v>
      </c>
      <c r="T300">
        <v>71.032394999999951</v>
      </c>
      <c r="U300">
        <v>187.80361600000003</v>
      </c>
      <c r="V300">
        <v>548.65245400000003</v>
      </c>
      <c r="W300">
        <v>0.21283276899368445</v>
      </c>
      <c r="X300">
        <f t="shared" si="50"/>
        <v>0.67953858878334839</v>
      </c>
      <c r="Y300">
        <f t="shared" si="51"/>
        <v>1.71738458905515</v>
      </c>
      <c r="AB300" s="6">
        <f t="shared" si="53"/>
        <v>704.52243258801298</v>
      </c>
      <c r="AC300" s="3">
        <f t="shared" si="54"/>
        <v>699.75960890126953</v>
      </c>
      <c r="AD300">
        <f t="shared" si="55"/>
        <v>433.03303479304878</v>
      </c>
      <c r="AE300">
        <f t="shared" si="56"/>
        <v>1.2609341877634561</v>
      </c>
      <c r="AF300">
        <f t="shared" si="57"/>
        <v>4.3139009816413589E-2</v>
      </c>
      <c r="AG300">
        <f t="shared" si="58"/>
        <v>4.3139009816413589E-2</v>
      </c>
    </row>
    <row r="301" spans="1:33" x14ac:dyDescent="0.25">
      <c r="A301">
        <v>320.81200000000001</v>
      </c>
      <c r="B301">
        <v>8.5839999999999996</v>
      </c>
      <c r="C301">
        <v>79.216999999999999</v>
      </c>
      <c r="D301">
        <v>514.38199999999995</v>
      </c>
      <c r="E301">
        <v>349.49599999999998</v>
      </c>
      <c r="F301">
        <v>2.5539999999999998</v>
      </c>
      <c r="G301">
        <v>80.771000000000001</v>
      </c>
      <c r="H301">
        <v>79.254000000000005</v>
      </c>
      <c r="I301">
        <v>5.298</v>
      </c>
      <c r="J301">
        <v>7.0650000000000004</v>
      </c>
      <c r="K301">
        <v>54184.061000000002</v>
      </c>
      <c r="L301">
        <v>21.241</v>
      </c>
      <c r="N301">
        <v>283.14266999999995</v>
      </c>
      <c r="O301">
        <v>354.12883499999992</v>
      </c>
      <c r="P301">
        <v>904.08673599999986</v>
      </c>
      <c r="Q301">
        <v>714.79760799999985</v>
      </c>
      <c r="R301">
        <f t="shared" si="49"/>
        <v>1.7375205084202388</v>
      </c>
      <c r="S301">
        <v>1.6797551425577677</v>
      </c>
      <c r="T301">
        <v>70.986164999999971</v>
      </c>
      <c r="U301">
        <v>189.28912800000001</v>
      </c>
      <c r="V301">
        <v>549.95790099999999</v>
      </c>
      <c r="W301">
        <v>0.2151127618766587</v>
      </c>
      <c r="X301">
        <f t="shared" si="50"/>
        <v>0.68200909290886613</v>
      </c>
      <c r="Y301">
        <f t="shared" si="51"/>
        <v>1.7228983261402795</v>
      </c>
      <c r="AB301" s="6">
        <f t="shared" si="53"/>
        <v>705.22768880035323</v>
      </c>
      <c r="AC301" s="3">
        <f t="shared" si="54"/>
        <v>700.4425544282808</v>
      </c>
      <c r="AD301">
        <f t="shared" si="55"/>
        <v>435.43949922533568</v>
      </c>
      <c r="AE301">
        <f t="shared" si="56"/>
        <v>1.2609341877634561</v>
      </c>
      <c r="AF301">
        <f t="shared" si="57"/>
        <v>4.3139009816413589E-2</v>
      </c>
      <c r="AG301">
        <f t="shared" si="58"/>
        <v>4.3139009816413589E-2</v>
      </c>
    </row>
    <row r="302" spans="1:33" x14ac:dyDescent="0.25">
      <c r="A302">
        <v>321.81200000000001</v>
      </c>
      <c r="B302">
        <v>8.673</v>
      </c>
      <c r="C302">
        <v>79.292000000000002</v>
      </c>
      <c r="D302">
        <v>518.46</v>
      </c>
      <c r="E302">
        <v>350.05700000000002</v>
      </c>
      <c r="F302">
        <v>2.5529999999999999</v>
      </c>
      <c r="G302">
        <v>80.855999999999995</v>
      </c>
      <c r="H302">
        <v>79.525000000000006</v>
      </c>
      <c r="I302">
        <v>5.3390000000000004</v>
      </c>
      <c r="J302">
        <v>7.5410000000000004</v>
      </c>
      <c r="K302">
        <v>54218.449000000001</v>
      </c>
      <c r="L302">
        <v>21.91</v>
      </c>
      <c r="N302">
        <v>283.23211499999996</v>
      </c>
      <c r="O302">
        <v>354.20420999999999</v>
      </c>
      <c r="P302">
        <v>908.76827999999989</v>
      </c>
      <c r="Q302">
        <v>715.4416359999999</v>
      </c>
      <c r="R302">
        <f t="shared" si="49"/>
        <v>1.7383383779808208</v>
      </c>
      <c r="S302">
        <v>1.6816122897123273</v>
      </c>
      <c r="T302">
        <v>70.972095000000024</v>
      </c>
      <c r="U302">
        <v>193.32664399999999</v>
      </c>
      <c r="V302">
        <v>554.5640699999999</v>
      </c>
      <c r="W302">
        <v>0.22063194429455191</v>
      </c>
      <c r="X302">
        <f t="shared" si="50"/>
        <v>0.68298816470635226</v>
      </c>
      <c r="Y302">
        <f t="shared" si="51"/>
        <v>1.747096853195929</v>
      </c>
      <c r="AB302" s="6">
        <f t="shared" si="53"/>
        <v>708.71443543237365</v>
      </c>
      <c r="AC302" s="3">
        <f t="shared" si="54"/>
        <v>703.89492586448841</v>
      </c>
      <c r="AD302">
        <f t="shared" si="55"/>
        <v>443.08585144724481</v>
      </c>
      <c r="AE302">
        <f t="shared" si="56"/>
        <v>1.2609341877634561</v>
      </c>
      <c r="AF302">
        <f t="shared" si="57"/>
        <v>4.3139009816413589E-2</v>
      </c>
      <c r="AG302">
        <f t="shared" si="58"/>
        <v>4.3139009816413589E-2</v>
      </c>
    </row>
    <row r="303" spans="1:33" x14ac:dyDescent="0.25">
      <c r="A303">
        <v>322.81200000000001</v>
      </c>
      <c r="B303">
        <v>8.6720000000000006</v>
      </c>
      <c r="C303">
        <v>79.265000000000001</v>
      </c>
      <c r="D303">
        <v>518.15800000000002</v>
      </c>
      <c r="E303">
        <v>349.37799999999999</v>
      </c>
      <c r="F303">
        <v>2.5710000000000002</v>
      </c>
      <c r="G303">
        <v>80.647000000000006</v>
      </c>
      <c r="H303">
        <v>79.236999999999995</v>
      </c>
      <c r="I303">
        <v>5.2949999999999999</v>
      </c>
      <c r="J303">
        <v>7.5709999999999997</v>
      </c>
      <c r="K303">
        <v>54231.284</v>
      </c>
      <c r="L303">
        <v>21.449000000000002</v>
      </c>
      <c r="N303">
        <v>283.23111</v>
      </c>
      <c r="O303">
        <v>354.17707499999995</v>
      </c>
      <c r="P303">
        <v>908.42158399999994</v>
      </c>
      <c r="Q303">
        <v>714.66214400000001</v>
      </c>
      <c r="R303">
        <f t="shared" si="49"/>
        <v>1.736073007702388</v>
      </c>
      <c r="S303">
        <v>1.679645204283285</v>
      </c>
      <c r="T303">
        <v>70.945964999999944</v>
      </c>
      <c r="U303">
        <v>193.75943999999993</v>
      </c>
      <c r="V303">
        <v>554.24450899999999</v>
      </c>
      <c r="W303">
        <v>0.22158717498453373</v>
      </c>
      <c r="X303">
        <f t="shared" si="50"/>
        <v>0.68149563568563409</v>
      </c>
      <c r="Y303">
        <f t="shared" si="51"/>
        <v>1.7553787557185521</v>
      </c>
      <c r="AB303" s="6">
        <f t="shared" si="53"/>
        <v>708.61883703323986</v>
      </c>
      <c r="AC303" s="3">
        <f t="shared" si="54"/>
        <v>703.81132755842816</v>
      </c>
      <c r="AD303">
        <f t="shared" si="55"/>
        <v>444.5948288366821</v>
      </c>
      <c r="AE303">
        <f t="shared" si="56"/>
        <v>1.2609341877634561</v>
      </c>
      <c r="AF303">
        <f t="shared" si="57"/>
        <v>4.3139009816413589E-2</v>
      </c>
      <c r="AG303">
        <f t="shared" si="58"/>
        <v>4.3139009816413589E-2</v>
      </c>
    </row>
    <row r="304" spans="1:33" x14ac:dyDescent="0.25">
      <c r="A304">
        <v>323.81200000000001</v>
      </c>
      <c r="B304">
        <v>8.5640000000000001</v>
      </c>
      <c r="C304">
        <v>79.335999999999999</v>
      </c>
      <c r="D304">
        <v>517.54899999999998</v>
      </c>
      <c r="E304">
        <v>349.26</v>
      </c>
      <c r="F304">
        <v>2.5310000000000001</v>
      </c>
      <c r="G304">
        <v>81.046000000000006</v>
      </c>
      <c r="H304">
        <v>79.564999999999998</v>
      </c>
      <c r="I304">
        <v>5.5170000000000003</v>
      </c>
      <c r="J304">
        <v>7.7229999999999999</v>
      </c>
      <c r="K304">
        <v>54228.696000000004</v>
      </c>
      <c r="L304">
        <v>20.846</v>
      </c>
      <c r="N304">
        <v>283.12257</v>
      </c>
      <c r="O304">
        <v>354.24842999999993</v>
      </c>
      <c r="P304">
        <v>907.72245199999986</v>
      </c>
      <c r="Q304">
        <v>714.52667999999994</v>
      </c>
      <c r="R304">
        <f t="shared" si="49"/>
        <v>1.7404909884844997</v>
      </c>
      <c r="S304">
        <v>1.6792335140390948</v>
      </c>
      <c r="T304">
        <v>71.125859999999932</v>
      </c>
      <c r="U304">
        <v>193.19577199999992</v>
      </c>
      <c r="V304">
        <v>553.47402199999988</v>
      </c>
      <c r="W304">
        <v>0.22055219784100366</v>
      </c>
      <c r="X304">
        <f t="shared" si="50"/>
        <v>0.68289669294565669</v>
      </c>
      <c r="Y304">
        <f t="shared" si="51"/>
        <v>1.7523961174268796</v>
      </c>
      <c r="AB304" s="6">
        <f t="shared" si="53"/>
        <v>708.1100587436639</v>
      </c>
      <c r="AC304" s="3">
        <f t="shared" si="54"/>
        <v>703.3083761124816</v>
      </c>
      <c r="AD304">
        <f t="shared" si="55"/>
        <v>443.58464228989305</v>
      </c>
      <c r="AE304">
        <f t="shared" si="56"/>
        <v>1.2609341877634561</v>
      </c>
      <c r="AF304">
        <f t="shared" si="57"/>
        <v>4.3139009816413589E-2</v>
      </c>
      <c r="AG304">
        <f t="shared" si="58"/>
        <v>4.3139009816413589E-2</v>
      </c>
    </row>
    <row r="305" spans="1:33" x14ac:dyDescent="0.25">
      <c r="A305">
        <v>324.81200000000001</v>
      </c>
      <c r="B305">
        <v>8.4749999999999996</v>
      </c>
      <c r="C305">
        <v>79.293000000000006</v>
      </c>
      <c r="D305">
        <v>518.08500000000004</v>
      </c>
      <c r="E305">
        <v>349.666</v>
      </c>
      <c r="F305">
        <v>2.5550000000000002</v>
      </c>
      <c r="G305">
        <v>81.085999999999999</v>
      </c>
      <c r="H305">
        <v>79.597999999999999</v>
      </c>
      <c r="I305">
        <v>5.3879999999999999</v>
      </c>
      <c r="J305">
        <v>8.4039999999999999</v>
      </c>
      <c r="K305">
        <v>54241.773000000001</v>
      </c>
      <c r="L305">
        <v>21.51</v>
      </c>
      <c r="N305">
        <v>283.03312499999998</v>
      </c>
      <c r="O305">
        <v>354.20521499999995</v>
      </c>
      <c r="P305">
        <v>908.33777999999995</v>
      </c>
      <c r="Q305">
        <v>714.99276799999996</v>
      </c>
      <c r="R305">
        <f t="shared" si="49"/>
        <v>1.7404742822120598</v>
      </c>
      <c r="S305">
        <v>1.6815259716405848</v>
      </c>
      <c r="T305">
        <v>71.172089999999969</v>
      </c>
      <c r="U305">
        <v>193.345012</v>
      </c>
      <c r="V305">
        <v>554.132565</v>
      </c>
      <c r="W305">
        <v>0.2204759830348538</v>
      </c>
      <c r="X305">
        <f t="shared" si="50"/>
        <v>0.68222473588199406</v>
      </c>
      <c r="Y305">
        <f t="shared" si="51"/>
        <v>1.7482526428313143</v>
      </c>
      <c r="AB305" s="6">
        <f t="shared" si="53"/>
        <v>708.38636791360454</v>
      </c>
      <c r="AC305" s="3">
        <f t="shared" si="54"/>
        <v>703.56958697834898</v>
      </c>
      <c r="AD305">
        <f t="shared" si="55"/>
        <v>443.24887448208591</v>
      </c>
      <c r="AE305">
        <f t="shared" si="56"/>
        <v>1.2609341877634561</v>
      </c>
      <c r="AF305">
        <f t="shared" si="57"/>
        <v>4.3139009816413589E-2</v>
      </c>
      <c r="AG305">
        <f t="shared" si="58"/>
        <v>4.3139009816413589E-2</v>
      </c>
    </row>
    <row r="306" spans="1:33" x14ac:dyDescent="0.25">
      <c r="A306">
        <v>325.81200000000001</v>
      </c>
      <c r="B306">
        <v>8.6210000000000004</v>
      </c>
      <c r="C306">
        <v>79.209000000000003</v>
      </c>
      <c r="D306">
        <v>517.548</v>
      </c>
      <c r="E306">
        <v>348.928</v>
      </c>
      <c r="F306">
        <v>2.5289999999999999</v>
      </c>
      <c r="G306">
        <v>80.626000000000005</v>
      </c>
      <c r="H306">
        <v>79.284000000000006</v>
      </c>
      <c r="I306">
        <v>5.5289999999999999</v>
      </c>
      <c r="J306">
        <v>8.3659999999999997</v>
      </c>
      <c r="K306">
        <v>54256.548999999999</v>
      </c>
      <c r="L306">
        <v>21.038</v>
      </c>
      <c r="N306">
        <v>283.17985499999992</v>
      </c>
      <c r="O306">
        <v>354.12079499999993</v>
      </c>
      <c r="P306">
        <v>907.72130399999992</v>
      </c>
      <c r="Q306">
        <v>714.14554399999986</v>
      </c>
      <c r="R306">
        <f t="shared" si="49"/>
        <v>1.736562638523423</v>
      </c>
      <c r="S306">
        <v>1.6764713975180916</v>
      </c>
      <c r="T306">
        <v>70.940940000000012</v>
      </c>
      <c r="U306">
        <v>193.57576000000006</v>
      </c>
      <c r="V306">
        <v>553.60050899999999</v>
      </c>
      <c r="W306">
        <v>0.22152223129549192</v>
      </c>
      <c r="X306">
        <f t="shared" si="50"/>
        <v>0.68179710509592262</v>
      </c>
      <c r="Y306">
        <f t="shared" si="51"/>
        <v>1.7610849610925159</v>
      </c>
      <c r="AB306" s="6">
        <f t="shared" si="53"/>
        <v>708.35489719476175</v>
      </c>
      <c r="AC306" s="3">
        <f t="shared" si="54"/>
        <v>703.56750749678281</v>
      </c>
      <c r="AD306">
        <f t="shared" si="55"/>
        <v>445.07500037541206</v>
      </c>
      <c r="AE306">
        <f t="shared" si="56"/>
        <v>1.2609341877634561</v>
      </c>
      <c r="AF306">
        <f t="shared" si="57"/>
        <v>4.3139009816413589E-2</v>
      </c>
      <c r="AG306">
        <f t="shared" si="58"/>
        <v>4.3139009816413589E-2</v>
      </c>
    </row>
    <row r="307" spans="1:33" x14ac:dyDescent="0.25">
      <c r="A307">
        <v>326.81200000000001</v>
      </c>
      <c r="B307">
        <v>8.7230000000000008</v>
      </c>
      <c r="C307">
        <v>79.266000000000005</v>
      </c>
      <c r="D307">
        <v>520.29999999999995</v>
      </c>
      <c r="E307">
        <v>349.30900000000003</v>
      </c>
      <c r="F307">
        <v>2.552</v>
      </c>
      <c r="G307">
        <v>80.281000000000006</v>
      </c>
      <c r="H307">
        <v>78.911000000000001</v>
      </c>
      <c r="I307">
        <v>5.2329999999999997</v>
      </c>
      <c r="J307">
        <v>7.6459999999999999</v>
      </c>
      <c r="K307">
        <v>54265.760000000002</v>
      </c>
      <c r="L307">
        <v>21.021999999999998</v>
      </c>
      <c r="N307">
        <v>283.28236499999997</v>
      </c>
      <c r="O307">
        <v>354.17807999999997</v>
      </c>
      <c r="P307">
        <v>910.88059999999984</v>
      </c>
      <c r="Q307">
        <v>714.58293200000003</v>
      </c>
      <c r="R307">
        <f t="shared" si="49"/>
        <v>1.7329329008410967</v>
      </c>
      <c r="S307">
        <v>1.6776047749993102</v>
      </c>
      <c r="T307">
        <v>70.895714999999996</v>
      </c>
      <c r="U307">
        <v>196.29766799999982</v>
      </c>
      <c r="V307">
        <v>556.70251999999982</v>
      </c>
      <c r="W307">
        <v>0.2252584611975528</v>
      </c>
      <c r="X307">
        <f t="shared" si="50"/>
        <v>0.67968308118828868</v>
      </c>
      <c r="Y307">
        <f t="shared" si="51"/>
        <v>1.7774760041093229</v>
      </c>
      <c r="AB307" s="6">
        <f t="shared" si="53"/>
        <v>710.71906036422888</v>
      </c>
      <c r="AC307" s="3">
        <f t="shared" si="54"/>
        <v>705.90912201331196</v>
      </c>
      <c r="AD307">
        <f t="shared" si="55"/>
        <v>450.16119179275034</v>
      </c>
      <c r="AE307">
        <f t="shared" si="56"/>
        <v>1.2609341877634561</v>
      </c>
      <c r="AF307">
        <f t="shared" si="57"/>
        <v>4.3139009816413589E-2</v>
      </c>
      <c r="AG307">
        <f t="shared" si="58"/>
        <v>4.3139009816413589E-2</v>
      </c>
    </row>
    <row r="308" spans="1:33" x14ac:dyDescent="0.25">
      <c r="A308">
        <v>327.81200000000001</v>
      </c>
      <c r="B308">
        <v>8.76</v>
      </c>
      <c r="C308">
        <v>79.292000000000002</v>
      </c>
      <c r="D308">
        <v>521.94299999999998</v>
      </c>
      <c r="E308">
        <v>348.94499999999999</v>
      </c>
      <c r="F308">
        <v>2.5339999999999998</v>
      </c>
      <c r="G308">
        <v>80.712999999999994</v>
      </c>
      <c r="H308">
        <v>79.293999999999997</v>
      </c>
      <c r="I308">
        <v>5.2060000000000004</v>
      </c>
      <c r="J308">
        <v>7.6529999999999996</v>
      </c>
      <c r="K308">
        <v>54247.862999999998</v>
      </c>
      <c r="L308">
        <v>21.481999999999999</v>
      </c>
      <c r="N308">
        <v>283.31954999999994</v>
      </c>
      <c r="O308">
        <v>354.20420999999999</v>
      </c>
      <c r="P308">
        <v>912.76676399999985</v>
      </c>
      <c r="Q308">
        <v>714.16505999999993</v>
      </c>
      <c r="R308">
        <f t="shared" si="49"/>
        <v>1.737301242997529</v>
      </c>
      <c r="S308">
        <v>1.6815447169429467</v>
      </c>
      <c r="T308">
        <v>70.884660000000054</v>
      </c>
      <c r="U308">
        <v>198.60170399999993</v>
      </c>
      <c r="V308">
        <v>558.56255399999986</v>
      </c>
      <c r="W308">
        <v>0.22865307222152223</v>
      </c>
      <c r="X308">
        <f t="shared" si="50"/>
        <v>0.68324361614319584</v>
      </c>
      <c r="Y308">
        <f t="shared" si="51"/>
        <v>1.7870348720097564</v>
      </c>
      <c r="AB308" s="6">
        <f t="shared" si="53"/>
        <v>711.83873208933562</v>
      </c>
      <c r="AC308" s="3">
        <f t="shared" si="54"/>
        <v>706.9983676759249</v>
      </c>
      <c r="AD308">
        <f t="shared" si="55"/>
        <v>453.92907912703117</v>
      </c>
      <c r="AE308">
        <f t="shared" si="56"/>
        <v>1.2609341877634561</v>
      </c>
      <c r="AF308">
        <f t="shared" si="57"/>
        <v>4.3139009816413589E-2</v>
      </c>
      <c r="AG308">
        <f t="shared" si="58"/>
        <v>4.3139009816413589E-2</v>
      </c>
    </row>
    <row r="309" spans="1:33" x14ac:dyDescent="0.25">
      <c r="A309">
        <v>328.81200000000001</v>
      </c>
      <c r="B309">
        <v>8.7249999999999996</v>
      </c>
      <c r="C309">
        <v>79.244</v>
      </c>
      <c r="D309">
        <v>522.97</v>
      </c>
      <c r="E309">
        <v>348.72699999999998</v>
      </c>
      <c r="F309">
        <v>2.5619999999999998</v>
      </c>
      <c r="G309">
        <v>80.650999999999996</v>
      </c>
      <c r="H309">
        <v>79.305999999999997</v>
      </c>
      <c r="I309">
        <v>5.3849999999999998</v>
      </c>
      <c r="J309">
        <v>8.6679999999999993</v>
      </c>
      <c r="K309">
        <v>54247.709000000003</v>
      </c>
      <c r="L309">
        <v>21.526</v>
      </c>
      <c r="N309">
        <v>283.28437499999995</v>
      </c>
      <c r="O309">
        <v>354.15596999999997</v>
      </c>
      <c r="P309">
        <v>913.94575999999995</v>
      </c>
      <c r="Q309">
        <v>713.91479599999991</v>
      </c>
      <c r="R309">
        <f t="shared" si="49"/>
        <v>1.736258037751504</v>
      </c>
      <c r="S309">
        <v>1.6788905726224914</v>
      </c>
      <c r="T309">
        <v>70.871595000000013</v>
      </c>
      <c r="U309">
        <v>200.03096400000004</v>
      </c>
      <c r="V309">
        <v>559.78979000000004</v>
      </c>
      <c r="W309">
        <v>0.23072834000777331</v>
      </c>
      <c r="X309">
        <f t="shared" si="50"/>
        <v>0.68248156082985378</v>
      </c>
      <c r="Y309">
        <f t="shared" si="51"/>
        <v>1.8027058591786727</v>
      </c>
      <c r="AB309" s="6">
        <f t="shared" si="53"/>
        <v>712.99552395914861</v>
      </c>
      <c r="AC309" s="3">
        <f t="shared" si="54"/>
        <v>708.16270558468045</v>
      </c>
      <c r="AD309">
        <f t="shared" si="55"/>
        <v>457.39275356110016</v>
      </c>
      <c r="AE309">
        <f t="shared" si="56"/>
        <v>1.2609341877634561</v>
      </c>
      <c r="AF309">
        <f t="shared" si="57"/>
        <v>4.3139009816413589E-2</v>
      </c>
      <c r="AG309">
        <f t="shared" si="58"/>
        <v>4.3139009816413589E-2</v>
      </c>
    </row>
    <row r="310" spans="1:33" x14ac:dyDescent="0.25">
      <c r="A310">
        <v>329.81200000000001</v>
      </c>
      <c r="B310">
        <v>8.6259999999999994</v>
      </c>
      <c r="C310">
        <v>79.287999999999997</v>
      </c>
      <c r="D310">
        <v>521.64599999999996</v>
      </c>
      <c r="E310">
        <v>349.16300000000001</v>
      </c>
      <c r="F310">
        <v>2.5539999999999998</v>
      </c>
      <c r="G310">
        <v>80.893000000000001</v>
      </c>
      <c r="H310">
        <v>79.474999999999994</v>
      </c>
      <c r="I310">
        <v>5.5570000000000004</v>
      </c>
      <c r="J310">
        <v>8.0250000000000004</v>
      </c>
      <c r="K310">
        <v>54240.576000000001</v>
      </c>
      <c r="L310">
        <v>21.164000000000001</v>
      </c>
      <c r="N310">
        <v>283.18487999999991</v>
      </c>
      <c r="O310">
        <v>354.20018999999996</v>
      </c>
      <c r="P310">
        <v>912.42580799999985</v>
      </c>
      <c r="Q310">
        <v>714.41532399999994</v>
      </c>
      <c r="R310">
        <f t="shared" si="49"/>
        <v>1.7386708657853547</v>
      </c>
      <c r="S310">
        <v>1.6777923471212302</v>
      </c>
      <c r="T310">
        <v>71.015310000000056</v>
      </c>
      <c r="U310">
        <v>198.01048399999991</v>
      </c>
      <c r="V310">
        <v>558.22561799999994</v>
      </c>
      <c r="W310">
        <v>0.22749793256532319</v>
      </c>
      <c r="X310">
        <f t="shared" si="50"/>
        <v>0.68271390651952768</v>
      </c>
      <c r="Y310">
        <f t="shared" si="51"/>
        <v>1.7895868359476468</v>
      </c>
      <c r="AB310" s="6">
        <f t="shared" si="53"/>
        <v>711.9079405773615</v>
      </c>
      <c r="AC310" s="3">
        <f t="shared" si="54"/>
        <v>707.0888673551151</v>
      </c>
      <c r="AD310">
        <f t="shared" si="55"/>
        <v>453.55262491316489</v>
      </c>
      <c r="AE310">
        <f t="shared" si="56"/>
        <v>1.2609341877634561</v>
      </c>
      <c r="AF310">
        <f t="shared" si="57"/>
        <v>4.3139009816413589E-2</v>
      </c>
      <c r="AG310">
        <f t="shared" si="58"/>
        <v>4.3139009816413589E-2</v>
      </c>
    </row>
    <row r="311" spans="1:33" x14ac:dyDescent="0.25">
      <c r="A311">
        <v>330.81200000000001</v>
      </c>
      <c r="B311">
        <v>8.5440000000000005</v>
      </c>
      <c r="C311">
        <v>79.254999999999995</v>
      </c>
      <c r="D311">
        <v>520.279</v>
      </c>
      <c r="E311">
        <v>349.23200000000003</v>
      </c>
      <c r="F311">
        <v>2.5369999999999999</v>
      </c>
      <c r="G311">
        <v>80.887</v>
      </c>
      <c r="H311">
        <v>79.305999999999997</v>
      </c>
      <c r="I311">
        <v>5.3140000000000001</v>
      </c>
      <c r="J311">
        <v>7.609</v>
      </c>
      <c r="K311">
        <v>54232.351000000002</v>
      </c>
      <c r="L311">
        <v>22.161999999999999</v>
      </c>
      <c r="N311">
        <v>283.10246999999993</v>
      </c>
      <c r="O311">
        <v>354.16702499999991</v>
      </c>
      <c r="P311">
        <v>910.85649199999989</v>
      </c>
      <c r="Q311">
        <v>714.49453600000004</v>
      </c>
      <c r="R311">
        <f t="shared" si="49"/>
        <v>1.7388930279053536</v>
      </c>
      <c r="S311">
        <v>1.6799860312092194</v>
      </c>
      <c r="T311">
        <v>71.064554999999984</v>
      </c>
      <c r="U311">
        <v>196.36195599999985</v>
      </c>
      <c r="V311">
        <v>556.68946699999992</v>
      </c>
      <c r="W311">
        <v>0.22507593268331028</v>
      </c>
      <c r="X311">
        <f t="shared" si="50"/>
        <v>0.68221260141646123</v>
      </c>
      <c r="Y311">
        <f t="shared" si="51"/>
        <v>1.7735510247804982</v>
      </c>
      <c r="AB311" s="6">
        <f t="shared" si="53"/>
        <v>710.4878170598555</v>
      </c>
      <c r="AC311" s="3">
        <f t="shared" si="54"/>
        <v>705.66565526100987</v>
      </c>
      <c r="AD311">
        <f t="shared" si="55"/>
        <v>449.76766887964288</v>
      </c>
      <c r="AE311">
        <f t="shared" si="56"/>
        <v>1.2609341877634561</v>
      </c>
      <c r="AF311">
        <f t="shared" si="57"/>
        <v>4.3139009816413589E-2</v>
      </c>
      <c r="AG311">
        <f t="shared" si="58"/>
        <v>4.3139009816413589E-2</v>
      </c>
    </row>
    <row r="312" spans="1:33" x14ac:dyDescent="0.25">
      <c r="A312">
        <v>331.81200000000001</v>
      </c>
      <c r="B312">
        <v>8.4190000000000005</v>
      </c>
      <c r="C312">
        <v>79.301000000000002</v>
      </c>
      <c r="D312">
        <v>518.24300000000005</v>
      </c>
      <c r="E312">
        <v>349.00599999999997</v>
      </c>
      <c r="F312">
        <v>2.5539999999999998</v>
      </c>
      <c r="G312">
        <v>81.070999999999998</v>
      </c>
      <c r="H312">
        <v>79.616</v>
      </c>
      <c r="I312">
        <v>5.335</v>
      </c>
      <c r="J312">
        <v>8.0250000000000004</v>
      </c>
      <c r="K312">
        <v>54228.290999999997</v>
      </c>
      <c r="L312">
        <v>21.91</v>
      </c>
      <c r="N312">
        <v>282.97684499999991</v>
      </c>
      <c r="O312">
        <v>354.21325499999995</v>
      </c>
      <c r="P312">
        <v>908.51916399999993</v>
      </c>
      <c r="Q312">
        <v>714.23508799999991</v>
      </c>
      <c r="R312">
        <f t="shared" si="49"/>
        <v>1.7403492560393761</v>
      </c>
      <c r="S312">
        <v>1.6825102218955299</v>
      </c>
      <c r="T312">
        <v>71.236410000000035</v>
      </c>
      <c r="U312">
        <v>194.28407600000003</v>
      </c>
      <c r="V312">
        <v>554.30590899999993</v>
      </c>
      <c r="W312">
        <v>0.22198512410229423</v>
      </c>
      <c r="X312">
        <f t="shared" si="50"/>
        <v>0.68137769532948012</v>
      </c>
      <c r="Y312">
        <f t="shared" si="51"/>
        <v>1.7545431262408762</v>
      </c>
      <c r="AB312" s="6">
        <f t="shared" si="53"/>
        <v>708.44045365146485</v>
      </c>
      <c r="AC312" s="3">
        <f t="shared" si="54"/>
        <v>703.61763118934073</v>
      </c>
      <c r="AD312">
        <f t="shared" si="55"/>
        <v>445.09449062391622</v>
      </c>
      <c r="AE312">
        <f t="shared" si="56"/>
        <v>1.2609341877634561</v>
      </c>
      <c r="AF312">
        <f t="shared" si="57"/>
        <v>4.3139009816413589E-2</v>
      </c>
      <c r="AG312">
        <f t="shared" si="58"/>
        <v>4.3139009816413589E-2</v>
      </c>
    </row>
    <row r="313" spans="1:33" x14ac:dyDescent="0.25">
      <c r="A313">
        <v>332.81200000000001</v>
      </c>
      <c r="B313">
        <v>8.2859999999999996</v>
      </c>
      <c r="C313">
        <v>79.295000000000002</v>
      </c>
      <c r="D313">
        <v>517.4</v>
      </c>
      <c r="E313">
        <v>349.44299999999998</v>
      </c>
      <c r="F313">
        <v>2.5510000000000002</v>
      </c>
      <c r="G313">
        <v>80.361000000000004</v>
      </c>
      <c r="H313">
        <v>78.843000000000004</v>
      </c>
      <c r="I313">
        <v>5.4279999999999999</v>
      </c>
      <c r="J313">
        <v>7.7229999999999999</v>
      </c>
      <c r="K313">
        <v>54231.841999999997</v>
      </c>
      <c r="L313">
        <v>21.576000000000001</v>
      </c>
      <c r="N313">
        <v>282.84317999999996</v>
      </c>
      <c r="O313">
        <v>354.20722499999994</v>
      </c>
      <c r="P313">
        <v>907.55139999999983</v>
      </c>
      <c r="Q313">
        <v>714.73676399999988</v>
      </c>
      <c r="R313">
        <f t="shared" si="49"/>
        <v>1.7337035954399298</v>
      </c>
      <c r="S313">
        <v>1.6739773061104586</v>
      </c>
      <c r="T313">
        <v>71.364044999999976</v>
      </c>
      <c r="U313">
        <v>192.81463599999995</v>
      </c>
      <c r="V313">
        <v>553.34417499999995</v>
      </c>
      <c r="W313">
        <v>0.21948471943343398</v>
      </c>
      <c r="X313">
        <f t="shared" si="50"/>
        <v>0.67476498800060869</v>
      </c>
      <c r="Y313">
        <f t="shared" si="51"/>
        <v>1.7592388136770012</v>
      </c>
      <c r="AB313" s="6">
        <f t="shared" si="53"/>
        <v>708.44459232194959</v>
      </c>
      <c r="AC313" s="3">
        <f t="shared" si="54"/>
        <v>703.67102210810936</v>
      </c>
      <c r="AD313">
        <f t="shared" si="55"/>
        <v>443.97663899263478</v>
      </c>
      <c r="AE313">
        <f t="shared" si="56"/>
        <v>1.2609341877634561</v>
      </c>
      <c r="AF313">
        <f t="shared" si="57"/>
        <v>4.3139009816413589E-2</v>
      </c>
      <c r="AG313">
        <f t="shared" si="58"/>
        <v>4.3139009816413589E-2</v>
      </c>
    </row>
    <row r="314" spans="1:33" x14ac:dyDescent="0.25">
      <c r="A314">
        <v>333.81200000000001</v>
      </c>
      <c r="B314">
        <v>8.2140000000000004</v>
      </c>
      <c r="C314">
        <v>79.353999999999999</v>
      </c>
      <c r="D314">
        <v>517.34199999999998</v>
      </c>
      <c r="E314">
        <v>349.23500000000001</v>
      </c>
      <c r="F314">
        <v>2.5289999999999999</v>
      </c>
      <c r="G314">
        <v>80.08</v>
      </c>
      <c r="H314">
        <v>78.646000000000001</v>
      </c>
      <c r="I314">
        <v>5.3220000000000001</v>
      </c>
      <c r="J314">
        <v>6.6260000000000003</v>
      </c>
      <c r="K314">
        <v>54212.974000000002</v>
      </c>
      <c r="L314">
        <v>21.702000000000002</v>
      </c>
      <c r="N314">
        <v>282.77081999999996</v>
      </c>
      <c r="O314">
        <v>354.2665199999999</v>
      </c>
      <c r="P314">
        <v>907.48481599999991</v>
      </c>
      <c r="Q314">
        <v>714.49797999999998</v>
      </c>
      <c r="R314">
        <f t="shared" si="49"/>
        <v>1.7314131039621234</v>
      </c>
      <c r="S314">
        <v>1.6737975776956866</v>
      </c>
      <c r="T314">
        <v>71.495699999999943</v>
      </c>
      <c r="U314">
        <v>192.98683599999993</v>
      </c>
      <c r="V314">
        <v>553.21829600000001</v>
      </c>
      <c r="W314">
        <v>0.21960795020416313</v>
      </c>
      <c r="X314">
        <f t="shared" si="50"/>
        <v>0.67160221147689436</v>
      </c>
      <c r="Y314">
        <f t="shared" si="51"/>
        <v>1.7612831128048352</v>
      </c>
      <c r="AB314" s="6">
        <f t="shared" si="53"/>
        <v>708.40864897656922</v>
      </c>
      <c r="AC314" s="3">
        <f t="shared" si="54"/>
        <v>703.63636112636982</v>
      </c>
      <c r="AD314">
        <f t="shared" si="55"/>
        <v>444.42130692643769</v>
      </c>
      <c r="AE314">
        <f t="shared" si="56"/>
        <v>1.2609341877634561</v>
      </c>
      <c r="AF314">
        <f t="shared" si="57"/>
        <v>4.3139009816413589E-2</v>
      </c>
      <c r="AG314">
        <f t="shared" si="58"/>
        <v>4.3139009816413589E-2</v>
      </c>
    </row>
    <row r="315" spans="1:33" x14ac:dyDescent="0.25">
      <c r="A315">
        <v>334.81200000000001</v>
      </c>
      <c r="B315">
        <v>8.3829999999999991</v>
      </c>
      <c r="C315">
        <v>79.278999999999996</v>
      </c>
      <c r="D315">
        <v>516.98699999999997</v>
      </c>
      <c r="E315">
        <v>349.39400000000001</v>
      </c>
      <c r="F315">
        <v>2.5310000000000001</v>
      </c>
      <c r="G315">
        <v>80.78</v>
      </c>
      <c r="H315">
        <v>79.274000000000001</v>
      </c>
      <c r="I315">
        <v>5.335</v>
      </c>
      <c r="J315">
        <v>7.391</v>
      </c>
      <c r="K315">
        <v>54185.525000000001</v>
      </c>
      <c r="L315">
        <v>22.353999999999999</v>
      </c>
      <c r="N315">
        <v>282.94066499999991</v>
      </c>
      <c r="O315">
        <v>354.19114499999995</v>
      </c>
      <c r="P315">
        <v>907.07727599999987</v>
      </c>
      <c r="Q315">
        <v>714.68051199999991</v>
      </c>
      <c r="R315">
        <f t="shared" si="49"/>
        <v>1.7379822881987343</v>
      </c>
      <c r="S315">
        <v>1.6793678504157672</v>
      </c>
      <c r="T315">
        <v>71.250480000000039</v>
      </c>
      <c r="U315">
        <v>192.39676399999996</v>
      </c>
      <c r="V315">
        <v>552.88613099999998</v>
      </c>
      <c r="W315">
        <v>0.21911615648756422</v>
      </c>
      <c r="X315">
        <f t="shared" si="50"/>
        <v>0.67934736979998367</v>
      </c>
      <c r="Y315">
        <f t="shared" si="51"/>
        <v>1.7461375188427917</v>
      </c>
      <c r="AB315" s="6">
        <f t="shared" si="53"/>
        <v>707.59482995630344</v>
      </c>
      <c r="AC315" s="3">
        <f t="shared" si="54"/>
        <v>702.79586658167</v>
      </c>
      <c r="AD315">
        <f t="shared" si="55"/>
        <v>441.90123962224038</v>
      </c>
      <c r="AE315">
        <f t="shared" si="56"/>
        <v>1.2609341877634561</v>
      </c>
      <c r="AF315">
        <f t="shared" si="57"/>
        <v>4.3139009816413589E-2</v>
      </c>
      <c r="AG315">
        <f t="shared" si="58"/>
        <v>4.3139009816413589E-2</v>
      </c>
    </row>
    <row r="316" spans="1:33" x14ac:dyDescent="0.25">
      <c r="A316">
        <v>335.81200000000001</v>
      </c>
      <c r="B316">
        <v>8.3539999999999992</v>
      </c>
      <c r="C316">
        <v>79.308999999999997</v>
      </c>
      <c r="D316">
        <v>516.90099999999995</v>
      </c>
      <c r="E316">
        <v>349.14400000000001</v>
      </c>
      <c r="F316">
        <v>2.5499999999999998</v>
      </c>
      <c r="G316">
        <v>80.394999999999996</v>
      </c>
      <c r="H316">
        <v>78.989999999999995</v>
      </c>
      <c r="I316">
        <v>5.3730000000000002</v>
      </c>
      <c r="J316">
        <v>6.7</v>
      </c>
      <c r="K316">
        <v>54176.684999999998</v>
      </c>
      <c r="L316">
        <v>22.123999999999999</v>
      </c>
      <c r="N316">
        <v>282.91151999999994</v>
      </c>
      <c r="O316">
        <v>354.22129499999988</v>
      </c>
      <c r="P316">
        <v>906.97854799999982</v>
      </c>
      <c r="Q316">
        <v>714.39351199999987</v>
      </c>
      <c r="R316">
        <f t="shared" si="49"/>
        <v>1.7340405469118338</v>
      </c>
      <c r="S316">
        <v>1.6761731558788679</v>
      </c>
      <c r="T316">
        <v>71.309774999999945</v>
      </c>
      <c r="U316">
        <v>192.58503599999995</v>
      </c>
      <c r="V316">
        <v>552.75725299999999</v>
      </c>
      <c r="W316">
        <v>0.21940057835839921</v>
      </c>
      <c r="X316">
        <f t="shared" si="50"/>
        <v>0.67569946940726355</v>
      </c>
      <c r="Y316">
        <f t="shared" si="51"/>
        <v>1.7540723878127136</v>
      </c>
      <c r="AB316" s="6">
        <f t="shared" si="53"/>
        <v>707.80181746774281</v>
      </c>
      <c r="AC316" s="3">
        <f t="shared" si="54"/>
        <v>703.01988825075114</v>
      </c>
      <c r="AD316">
        <f t="shared" si="55"/>
        <v>443.08684126922287</v>
      </c>
      <c r="AE316">
        <f t="shared" si="56"/>
        <v>1.2609341877634561</v>
      </c>
      <c r="AF316">
        <f t="shared" si="57"/>
        <v>4.3139009816413589E-2</v>
      </c>
      <c r="AG316">
        <f t="shared" si="58"/>
        <v>4.3139009816413589E-2</v>
      </c>
    </row>
    <row r="317" spans="1:33" x14ac:dyDescent="0.25">
      <c r="A317">
        <v>336.81200000000001</v>
      </c>
      <c r="B317">
        <v>8.36</v>
      </c>
      <c r="C317">
        <v>79.236000000000004</v>
      </c>
      <c r="D317">
        <v>516.74300000000005</v>
      </c>
      <c r="E317">
        <v>349.45600000000002</v>
      </c>
      <c r="F317">
        <v>2.5579999999999998</v>
      </c>
      <c r="G317">
        <v>80.5</v>
      </c>
      <c r="H317">
        <v>79.126999999999995</v>
      </c>
      <c r="I317">
        <v>5.3979999999999997</v>
      </c>
      <c r="J317">
        <v>7.1159999999999997</v>
      </c>
      <c r="K317">
        <v>54184.084999999999</v>
      </c>
      <c r="L317">
        <v>21.306999999999999</v>
      </c>
      <c r="N317">
        <v>282.91754999999995</v>
      </c>
      <c r="O317">
        <v>354.14792999999992</v>
      </c>
      <c r="P317">
        <v>906.79716399999995</v>
      </c>
      <c r="Q317">
        <v>714.75168799999994</v>
      </c>
      <c r="R317">
        <f t="shared" si="49"/>
        <v>1.7348997718229648</v>
      </c>
      <c r="S317">
        <v>1.677046410402395</v>
      </c>
      <c r="T317">
        <v>71.230379999999968</v>
      </c>
      <c r="U317">
        <v>192.04547600000001</v>
      </c>
      <c r="V317">
        <v>552.64923399999998</v>
      </c>
      <c r="W317">
        <v>0.2186108087503475</v>
      </c>
      <c r="X317">
        <f t="shared" si="50"/>
        <v>0.67712499812130644</v>
      </c>
      <c r="Y317">
        <f t="shared" si="51"/>
        <v>1.7478567885535072</v>
      </c>
      <c r="AB317" s="6">
        <f t="shared" si="53"/>
        <v>707.58258364199764</v>
      </c>
      <c r="AC317" s="3">
        <f t="shared" si="54"/>
        <v>702.79709431885806</v>
      </c>
      <c r="AD317">
        <f t="shared" si="55"/>
        <v>441.70831556812084</v>
      </c>
      <c r="AE317">
        <f t="shared" si="56"/>
        <v>1.2609341877634561</v>
      </c>
      <c r="AF317">
        <f t="shared" si="57"/>
        <v>4.3139009816413589E-2</v>
      </c>
      <c r="AG317">
        <f t="shared" si="58"/>
        <v>4.3139009816413589E-2</v>
      </c>
    </row>
    <row r="318" spans="1:33" x14ac:dyDescent="0.25">
      <c r="A318">
        <v>337.81200000000001</v>
      </c>
      <c r="B318">
        <v>8.4090000000000007</v>
      </c>
      <c r="C318">
        <v>79.325999999999993</v>
      </c>
      <c r="D318">
        <v>516.11699999999996</v>
      </c>
      <c r="E318">
        <v>349.27</v>
      </c>
      <c r="F318">
        <v>2.5289999999999999</v>
      </c>
      <c r="G318">
        <v>81.11</v>
      </c>
      <c r="H318">
        <v>79.552999999999997</v>
      </c>
      <c r="I318">
        <v>5.3239999999999998</v>
      </c>
      <c r="J318">
        <v>7.95</v>
      </c>
      <c r="K318">
        <v>54183.858999999997</v>
      </c>
      <c r="L318">
        <v>21.158999999999999</v>
      </c>
      <c r="N318">
        <v>282.96679499999993</v>
      </c>
      <c r="O318">
        <v>354.23837999999995</v>
      </c>
      <c r="P318">
        <v>906.07851599999981</v>
      </c>
      <c r="Q318">
        <v>714.53815999999995</v>
      </c>
      <c r="R318">
        <f t="shared" si="49"/>
        <v>1.7411274274019375</v>
      </c>
      <c r="S318">
        <v>1.6821013746967581</v>
      </c>
      <c r="T318">
        <v>71.271585000000016</v>
      </c>
      <c r="U318">
        <v>191.54035599999986</v>
      </c>
      <c r="V318">
        <v>551.8401359999998</v>
      </c>
      <c r="W318">
        <v>0.21794132603649527</v>
      </c>
      <c r="X318">
        <f t="shared" si="50"/>
        <v>0.68161134386894173</v>
      </c>
      <c r="Y318">
        <f t="shared" si="51"/>
        <v>1.7351834679010316</v>
      </c>
      <c r="AB318" s="6">
        <f t="shared" si="53"/>
        <v>706.5734850752807</v>
      </c>
      <c r="AC318" s="3">
        <f t="shared" si="54"/>
        <v>701.76572257965756</v>
      </c>
      <c r="AD318">
        <f t="shared" si="55"/>
        <v>439.56387673789186</v>
      </c>
      <c r="AE318">
        <f t="shared" si="56"/>
        <v>1.2609341877634561</v>
      </c>
      <c r="AF318">
        <f t="shared" si="57"/>
        <v>4.3139009816413589E-2</v>
      </c>
      <c r="AG318">
        <f t="shared" si="58"/>
        <v>4.3139009816413589E-2</v>
      </c>
    </row>
    <row r="319" spans="1:33" x14ac:dyDescent="0.25">
      <c r="A319">
        <v>338.81200000000001</v>
      </c>
      <c r="B319">
        <v>8.4190000000000005</v>
      </c>
      <c r="C319">
        <v>79.234999999999999</v>
      </c>
      <c r="D319">
        <v>516.19899999999996</v>
      </c>
      <c r="E319">
        <v>349.43900000000002</v>
      </c>
      <c r="F319">
        <v>2.5470000000000002</v>
      </c>
      <c r="G319">
        <v>80.611999999999995</v>
      </c>
      <c r="H319">
        <v>79.22</v>
      </c>
      <c r="I319">
        <v>5.3620000000000001</v>
      </c>
      <c r="J319">
        <v>7.4950000000000001</v>
      </c>
      <c r="K319">
        <v>54217.98</v>
      </c>
      <c r="L319">
        <v>21.225000000000001</v>
      </c>
      <c r="N319">
        <v>282.97684499999991</v>
      </c>
      <c r="O319">
        <v>354.14692499999995</v>
      </c>
      <c r="P319">
        <v>906.17265199999986</v>
      </c>
      <c r="Q319">
        <v>714.73217199999988</v>
      </c>
      <c r="R319">
        <f t="shared" si="49"/>
        <v>1.7361358642865898</v>
      </c>
      <c r="S319">
        <v>1.6784552920210909</v>
      </c>
      <c r="T319">
        <v>71.170080000000041</v>
      </c>
      <c r="U319">
        <v>191.44047999999998</v>
      </c>
      <c r="V319">
        <v>552.02572699999996</v>
      </c>
      <c r="W319">
        <v>0.217871005131614</v>
      </c>
      <c r="X319">
        <f t="shared" si="50"/>
        <v>0.67878788114526034</v>
      </c>
      <c r="Y319">
        <f t="shared" si="51"/>
        <v>1.7409027967386337</v>
      </c>
      <c r="AB319" s="6">
        <f t="shared" si="53"/>
        <v>706.97013297269223</v>
      </c>
      <c r="AC319" s="3">
        <f t="shared" si="54"/>
        <v>702.18066395947665</v>
      </c>
      <c r="AD319">
        <f t="shared" si="55"/>
        <v>440.15801856299458</v>
      </c>
      <c r="AE319">
        <f t="shared" si="56"/>
        <v>1.2609341877634561</v>
      </c>
      <c r="AF319">
        <f t="shared" si="57"/>
        <v>4.3139009816413589E-2</v>
      </c>
      <c r="AG319">
        <f t="shared" si="58"/>
        <v>4.3139009816413589E-2</v>
      </c>
    </row>
    <row r="320" spans="1:33" x14ac:dyDescent="0.25">
      <c r="A320">
        <v>339.81200000000001</v>
      </c>
      <c r="B320">
        <v>8.4339999999999993</v>
      </c>
      <c r="C320">
        <v>79.218000000000004</v>
      </c>
      <c r="D320">
        <v>519.61699999999996</v>
      </c>
      <c r="E320">
        <v>349.24599999999998</v>
      </c>
      <c r="F320">
        <v>2.5169999999999999</v>
      </c>
      <c r="G320">
        <v>80.730999999999995</v>
      </c>
      <c r="H320">
        <v>79.33</v>
      </c>
      <c r="I320">
        <v>5.4930000000000003</v>
      </c>
      <c r="J320">
        <v>7.1920000000000002</v>
      </c>
      <c r="K320">
        <v>54236.968999999997</v>
      </c>
      <c r="L320">
        <v>21.241</v>
      </c>
      <c r="N320">
        <v>282.99191999999999</v>
      </c>
      <c r="O320">
        <v>354.12983999999994</v>
      </c>
      <c r="P320">
        <v>910.09651599999984</v>
      </c>
      <c r="Q320">
        <v>714.51060799999993</v>
      </c>
      <c r="R320">
        <f t="shared" si="49"/>
        <v>1.7377496061952329</v>
      </c>
      <c r="S320">
        <v>1.6774471755066838</v>
      </c>
      <c r="T320">
        <v>71.137919999999951</v>
      </c>
      <c r="U320">
        <v>195.5859079999999</v>
      </c>
      <c r="V320">
        <v>555.96667599999989</v>
      </c>
      <c r="W320">
        <v>0.22384073249742756</v>
      </c>
      <c r="X320">
        <f t="shared" si="50"/>
        <v>0.68036733764423285</v>
      </c>
      <c r="Y320">
        <f t="shared" si="51"/>
        <v>1.7728584052966161</v>
      </c>
      <c r="AB320" s="6">
        <f t="shared" si="53"/>
        <v>710.12133604722305</v>
      </c>
      <c r="AC320" s="3">
        <f t="shared" si="54"/>
        <v>705.31635558485232</v>
      </c>
      <c r="AD320">
        <f t="shared" si="55"/>
        <v>448.79546740628319</v>
      </c>
      <c r="AE320">
        <f t="shared" si="56"/>
        <v>1.2609341877634561</v>
      </c>
      <c r="AF320">
        <f t="shared" si="57"/>
        <v>4.3139009816413589E-2</v>
      </c>
      <c r="AG320">
        <f t="shared" si="58"/>
        <v>4.3139009816413589E-2</v>
      </c>
    </row>
    <row r="321" spans="1:33" x14ac:dyDescent="0.25">
      <c r="A321">
        <v>340.81200000000001</v>
      </c>
      <c r="B321">
        <v>8.5370000000000008</v>
      </c>
      <c r="C321">
        <v>79.105999999999995</v>
      </c>
      <c r="D321">
        <v>522.00800000000004</v>
      </c>
      <c r="E321">
        <v>349.36599999999999</v>
      </c>
      <c r="F321">
        <v>2.5350000000000001</v>
      </c>
      <c r="G321">
        <v>80.492000000000004</v>
      </c>
      <c r="H321">
        <v>79.028000000000006</v>
      </c>
      <c r="I321">
        <v>5.3959999999999999</v>
      </c>
      <c r="J321">
        <v>7.76</v>
      </c>
      <c r="K321">
        <v>54241.442000000003</v>
      </c>
      <c r="L321">
        <v>21.46</v>
      </c>
      <c r="N321">
        <v>283.09543499999995</v>
      </c>
      <c r="O321">
        <v>354.01727999999991</v>
      </c>
      <c r="P321">
        <v>912.84138399999995</v>
      </c>
      <c r="Q321">
        <v>714.64836799999989</v>
      </c>
      <c r="R321">
        <f t="shared" si="49"/>
        <v>1.735200641297685</v>
      </c>
      <c r="S321">
        <v>1.6761680869820748</v>
      </c>
      <c r="T321">
        <v>70.921844999999962</v>
      </c>
      <c r="U321">
        <v>198.19301600000006</v>
      </c>
      <c r="V321">
        <v>558.82410400000003</v>
      </c>
      <c r="W321">
        <v>0.22774817709008502</v>
      </c>
      <c r="X321">
        <f t="shared" si="50"/>
        <v>0.68072981273835931</v>
      </c>
      <c r="Y321">
        <f t="shared" si="51"/>
        <v>1.7935661388015138</v>
      </c>
      <c r="AB321" s="6">
        <f t="shared" si="53"/>
        <v>712.37760133613403</v>
      </c>
      <c r="AC321" s="3">
        <f t="shared" si="54"/>
        <v>707.56478746032792</v>
      </c>
      <c r="AD321">
        <f t="shared" si="55"/>
        <v>454.22707610595364</v>
      </c>
      <c r="AE321">
        <f t="shared" si="56"/>
        <v>1.2609341877634561</v>
      </c>
      <c r="AF321">
        <f t="shared" si="57"/>
        <v>4.3139009816413589E-2</v>
      </c>
      <c r="AG321">
        <f t="shared" si="58"/>
        <v>4.3139009816413589E-2</v>
      </c>
    </row>
    <row r="322" spans="1:33" x14ac:dyDescent="0.25">
      <c r="A322">
        <v>341.81200000000001</v>
      </c>
      <c r="B322">
        <v>8.3710000000000004</v>
      </c>
      <c r="C322">
        <v>79.085999999999999</v>
      </c>
      <c r="D322">
        <v>521.76400000000001</v>
      </c>
      <c r="E322">
        <v>349.65199999999999</v>
      </c>
      <c r="F322">
        <v>2.516</v>
      </c>
      <c r="G322">
        <v>80.448999999999998</v>
      </c>
      <c r="H322">
        <v>79.046999999999997</v>
      </c>
      <c r="I322">
        <v>5.3490000000000002</v>
      </c>
      <c r="J322">
        <v>7.8330000000000002</v>
      </c>
      <c r="K322">
        <v>54240.9</v>
      </c>
      <c r="L322">
        <v>21.175000000000001</v>
      </c>
      <c r="N322">
        <v>282.92860499999995</v>
      </c>
      <c r="O322">
        <v>353.99717999999996</v>
      </c>
      <c r="P322">
        <v>912.56127199999992</v>
      </c>
      <c r="Q322">
        <v>714.97669599999983</v>
      </c>
      <c r="R322">
        <f t="shared" si="49"/>
        <v>1.7351060217325687</v>
      </c>
      <c r="S322">
        <v>1.6770663947303144</v>
      </c>
      <c r="T322">
        <v>71.06857500000001</v>
      </c>
      <c r="U322">
        <v>197.58457600000008</v>
      </c>
      <c r="V322">
        <v>558.56409199999996</v>
      </c>
      <c r="W322">
        <v>0.22650220952620792</v>
      </c>
      <c r="X322">
        <f t="shared" si="50"/>
        <v>0.6788514268941459</v>
      </c>
      <c r="Y322">
        <f t="shared" si="51"/>
        <v>1.7868724237576077</v>
      </c>
      <c r="AB322" s="6">
        <f t="shared" si="53"/>
        <v>712.07858431389468</v>
      </c>
      <c r="AC322" s="3">
        <f t="shared" si="54"/>
        <v>707.26257177400475</v>
      </c>
      <c r="AD322">
        <f t="shared" si="55"/>
        <v>452.74610719994314</v>
      </c>
      <c r="AE322">
        <f t="shared" si="56"/>
        <v>1.2609341877634561</v>
      </c>
      <c r="AF322">
        <f t="shared" si="57"/>
        <v>4.3139009816413589E-2</v>
      </c>
      <c r="AG322">
        <f t="shared" si="58"/>
        <v>4.3139009816413589E-2</v>
      </c>
    </row>
    <row r="323" spans="1:33" x14ac:dyDescent="0.25">
      <c r="A323">
        <v>342.81200000000001</v>
      </c>
      <c r="B323">
        <v>8.2609999999999992</v>
      </c>
      <c r="C323">
        <v>78.954999999999998</v>
      </c>
      <c r="D323">
        <v>520.68100000000004</v>
      </c>
      <c r="E323">
        <v>348.774</v>
      </c>
      <c r="F323">
        <v>2.536</v>
      </c>
      <c r="G323">
        <v>80.466999999999999</v>
      </c>
      <c r="H323">
        <v>79.028000000000006</v>
      </c>
      <c r="I323">
        <v>5.3470000000000004</v>
      </c>
      <c r="J323">
        <v>7.4189999999999996</v>
      </c>
      <c r="K323">
        <v>54206.957000000002</v>
      </c>
      <c r="L323">
        <v>20.808</v>
      </c>
      <c r="N323">
        <v>282.81805499999996</v>
      </c>
      <c r="O323">
        <v>353.86552499999993</v>
      </c>
      <c r="P323">
        <v>911.3179879999999</v>
      </c>
      <c r="Q323">
        <v>713.96875199999988</v>
      </c>
      <c r="R323">
        <f t="shared" si="49"/>
        <v>1.7349485080538682</v>
      </c>
      <c r="S323">
        <v>1.6769226528981049</v>
      </c>
      <c r="T323">
        <v>71.047469999999976</v>
      </c>
      <c r="U323">
        <v>197.34923600000002</v>
      </c>
      <c r="V323">
        <v>557.45246299999997</v>
      </c>
      <c r="W323">
        <v>0.22656957208564715</v>
      </c>
      <c r="X323">
        <f t="shared" si="50"/>
        <v>0.67866689542518066</v>
      </c>
      <c r="Y323">
        <f t="shared" si="51"/>
        <v>1.7874565760694103</v>
      </c>
      <c r="AB323" s="6">
        <f t="shared" si="53"/>
        <v>711.12128722750958</v>
      </c>
      <c r="AC323" s="3">
        <f t="shared" si="54"/>
        <v>706.31258299655087</v>
      </c>
      <c r="AD323">
        <f t="shared" si="55"/>
        <v>452.54499386730822</v>
      </c>
      <c r="AE323">
        <f t="shared" si="56"/>
        <v>1.2609341877634561</v>
      </c>
      <c r="AF323">
        <f t="shared" si="57"/>
        <v>4.3139009816413589E-2</v>
      </c>
      <c r="AG323">
        <f t="shared" si="58"/>
        <v>4.3139009816413589E-2</v>
      </c>
    </row>
    <row r="324" spans="1:33" x14ac:dyDescent="0.25">
      <c r="A324">
        <v>343.81200000000001</v>
      </c>
      <c r="B324">
        <v>8.0269999999999992</v>
      </c>
      <c r="C324">
        <v>79.016000000000005</v>
      </c>
      <c r="D324">
        <v>516.65099999999995</v>
      </c>
      <c r="E324">
        <v>349.19</v>
      </c>
      <c r="F324">
        <v>2.5129999999999999</v>
      </c>
      <c r="G324">
        <v>80.106999999999999</v>
      </c>
      <c r="H324">
        <v>78.680999999999997</v>
      </c>
      <c r="I324">
        <v>5.29</v>
      </c>
      <c r="J324">
        <v>7.76</v>
      </c>
      <c r="K324">
        <v>54161.659</v>
      </c>
      <c r="L324">
        <v>21.471</v>
      </c>
      <c r="N324">
        <v>282.58288499999992</v>
      </c>
      <c r="O324">
        <v>353.92682999999994</v>
      </c>
      <c r="P324">
        <v>906.6915479999999</v>
      </c>
      <c r="Q324">
        <v>714.4463199999999</v>
      </c>
      <c r="R324">
        <f t="shared" si="49"/>
        <v>1.7319291030345334</v>
      </c>
      <c r="S324">
        <v>1.6746116370989979</v>
      </c>
      <c r="T324">
        <v>71.343945000000019</v>
      </c>
      <c r="U324">
        <v>192.245228</v>
      </c>
      <c r="V324">
        <v>552.7647179999999</v>
      </c>
      <c r="W324">
        <v>0.21872105628854555</v>
      </c>
      <c r="X324">
        <f t="shared" si="50"/>
        <v>0.67297795159978135</v>
      </c>
      <c r="Y324">
        <f t="shared" si="51"/>
        <v>1.7544980686170144</v>
      </c>
      <c r="AB324" s="6">
        <f t="shared" si="53"/>
        <v>707.71686290344496</v>
      </c>
      <c r="AC324" s="3">
        <f t="shared" si="54"/>
        <v>702.9445293513196</v>
      </c>
      <c r="AD324">
        <f t="shared" si="55"/>
        <v>442.74741922038328</v>
      </c>
      <c r="AE324">
        <f t="shared" si="56"/>
        <v>1.2609341877634561</v>
      </c>
      <c r="AF324">
        <f t="shared" si="57"/>
        <v>4.3139009816413589E-2</v>
      </c>
      <c r="AG324">
        <f t="shared" si="58"/>
        <v>4.3139009816413589E-2</v>
      </c>
    </row>
    <row r="325" spans="1:33" x14ac:dyDescent="0.25">
      <c r="A325">
        <v>344.81200000000001</v>
      </c>
      <c r="B325">
        <v>7.87</v>
      </c>
      <c r="C325">
        <v>78.94</v>
      </c>
      <c r="D325">
        <v>515.07299999999998</v>
      </c>
      <c r="E325">
        <v>348.40899999999999</v>
      </c>
      <c r="F325">
        <v>2.5550000000000002</v>
      </c>
      <c r="G325">
        <v>80.599999999999994</v>
      </c>
      <c r="H325">
        <v>79.117999999999995</v>
      </c>
      <c r="I325">
        <v>5.4249999999999998</v>
      </c>
      <c r="J325">
        <v>7.4950000000000001</v>
      </c>
      <c r="K325">
        <v>54142.046999999999</v>
      </c>
      <c r="L325">
        <v>20.731000000000002</v>
      </c>
      <c r="N325">
        <v>282.42509999999993</v>
      </c>
      <c r="O325">
        <v>353.85044999999991</v>
      </c>
      <c r="P325">
        <v>904.88000399999987</v>
      </c>
      <c r="Q325">
        <v>713.54973199999995</v>
      </c>
      <c r="R325">
        <f t="shared" ref="R325:R388" si="59">(G325+103.5)/(F325+103.5)</f>
        <v>1.7358917542784402</v>
      </c>
      <c r="S325">
        <v>1.6765480835437228</v>
      </c>
      <c r="T325">
        <v>71.42534999999998</v>
      </c>
      <c r="U325">
        <v>191.33027199999992</v>
      </c>
      <c r="V325">
        <v>551.02955399999996</v>
      </c>
      <c r="W325">
        <v>0.21760161706317471</v>
      </c>
      <c r="X325">
        <f t="shared" ref="X325:X346" si="60">((B325+273.15)/(C325-B325)*((R325^(0.4/1.4)-1)))</f>
        <v>0.67485719354043983</v>
      </c>
      <c r="Y325">
        <f t="shared" ref="Y325:Y388" si="61">(D325-E325)/((D325+273.15)*(1-(1/S325^(0.333/1.333))))</f>
        <v>1.7459771025453976</v>
      </c>
      <c r="AB325" s="6">
        <f t="shared" ref="AB325:AB339" si="62">(D325+273.15)-((0.86*(D325+273.15))*(1-(1/S325^(0.333/1.333))))</f>
        <v>706.13083522244199</v>
      </c>
      <c r="AC325" s="3">
        <f t="shared" ref="AC325:AC353" si="63">(D325+273.15)-((0.91*(D325+273.15))*(1-(1/S325^(0.333/1.333))))</f>
        <v>701.358034944677</v>
      </c>
      <c r="AD325">
        <f t="shared" ref="AD325:AD347" si="64">SQRT(2*(1148)*(AB325-(E325+273.15)))</f>
        <v>440.65511873882377</v>
      </c>
      <c r="AE325">
        <f t="shared" ref="AE325:AE388" si="65">103500/(287*(12.85+273.15))</f>
        <v>1.2609341877634561</v>
      </c>
      <c r="AF325">
        <f t="shared" ref="AF325:AF388" si="66">(103500/(287*(12.85+273.15))*(PI()*(0.033^2)*10))</f>
        <v>4.3139009816413589E-2</v>
      </c>
      <c r="AG325">
        <f t="shared" ref="AG325:AG388" si="67">(AF325+(M325*770))</f>
        <v>4.3139009816413589E-2</v>
      </c>
    </row>
    <row r="326" spans="1:33" x14ac:dyDescent="0.25">
      <c r="A326">
        <v>345.81200000000001</v>
      </c>
      <c r="B326">
        <v>7.7050000000000001</v>
      </c>
      <c r="C326">
        <v>79.063999999999993</v>
      </c>
      <c r="D326">
        <v>513.17200000000003</v>
      </c>
      <c r="E326">
        <v>348.64699999999999</v>
      </c>
      <c r="F326">
        <v>2.5409999999999999</v>
      </c>
      <c r="G326">
        <v>80.817999999999998</v>
      </c>
      <c r="H326">
        <v>79.406000000000006</v>
      </c>
      <c r="I326">
        <v>5.3369999999999997</v>
      </c>
      <c r="J326">
        <v>7.4950000000000001</v>
      </c>
      <c r="K326">
        <v>54137.970999999998</v>
      </c>
      <c r="L326">
        <v>21.411000000000001</v>
      </c>
      <c r="N326">
        <v>282.25927499999995</v>
      </c>
      <c r="O326">
        <v>353.9750699999999</v>
      </c>
      <c r="P326">
        <v>902.69765599999994</v>
      </c>
      <c r="Q326">
        <v>713.82295599999998</v>
      </c>
      <c r="R326">
        <f t="shared" si="59"/>
        <v>1.7381767429579125</v>
      </c>
      <c r="S326">
        <v>1.6805498130231447</v>
      </c>
      <c r="T326">
        <v>71.715794999999957</v>
      </c>
      <c r="U326">
        <v>188.87469999999996</v>
      </c>
      <c r="V326">
        <v>548.72258600000009</v>
      </c>
      <c r="W326">
        <v>0.21351208787312426</v>
      </c>
      <c r="X326">
        <f t="shared" si="60"/>
        <v>0.67346146309054489</v>
      </c>
      <c r="Y326">
        <f t="shared" si="61"/>
        <v>1.7203023492827916</v>
      </c>
      <c r="AB326" s="6">
        <f t="shared" si="62"/>
        <v>704.07395792821592</v>
      </c>
      <c r="AC326" s="3">
        <f t="shared" si="63"/>
        <v>699.29209501706566</v>
      </c>
      <c r="AD326">
        <f t="shared" si="64"/>
        <v>434.63535912668641</v>
      </c>
      <c r="AE326">
        <f t="shared" si="65"/>
        <v>1.2609341877634561</v>
      </c>
      <c r="AF326">
        <f t="shared" si="66"/>
        <v>4.3139009816413589E-2</v>
      </c>
      <c r="AG326">
        <f t="shared" si="67"/>
        <v>4.3139009816413589E-2</v>
      </c>
    </row>
    <row r="327" spans="1:33" x14ac:dyDescent="0.25">
      <c r="A327">
        <v>346.81200000000001</v>
      </c>
      <c r="B327">
        <v>7.702</v>
      </c>
      <c r="C327">
        <v>79.076999999999998</v>
      </c>
      <c r="D327">
        <v>514.68399999999997</v>
      </c>
      <c r="E327">
        <v>348.93599999999998</v>
      </c>
      <c r="F327">
        <v>2.5459999999999998</v>
      </c>
      <c r="G327">
        <v>80.412999999999997</v>
      </c>
      <c r="H327">
        <v>78.912000000000006</v>
      </c>
      <c r="I327">
        <v>5.4189999999999996</v>
      </c>
      <c r="J327">
        <v>7.95</v>
      </c>
      <c r="K327">
        <v>54148.614000000001</v>
      </c>
      <c r="L327">
        <v>21.635999999999999</v>
      </c>
      <c r="N327">
        <v>282.25625999999994</v>
      </c>
      <c r="O327">
        <v>353.98813499999994</v>
      </c>
      <c r="P327">
        <v>904.43343199999981</v>
      </c>
      <c r="Q327">
        <v>714.15472799999998</v>
      </c>
      <c r="R327">
        <f t="shared" si="59"/>
        <v>1.7342756916809687</v>
      </c>
      <c r="S327">
        <v>1.6747491254969291</v>
      </c>
      <c r="T327">
        <v>71.731875000000002</v>
      </c>
      <c r="U327">
        <v>190.27870399999983</v>
      </c>
      <c r="V327">
        <v>550.44529699999987</v>
      </c>
      <c r="W327">
        <v>0.21536532266892974</v>
      </c>
      <c r="X327">
        <f t="shared" si="60"/>
        <v>0.67034598621995101</v>
      </c>
      <c r="Y327">
        <f t="shared" si="61"/>
        <v>1.7406268543931789</v>
      </c>
      <c r="AB327" s="6">
        <f t="shared" si="62"/>
        <v>705.9420771905626</v>
      </c>
      <c r="AC327" s="3">
        <f t="shared" si="63"/>
        <v>701.18091888768834</v>
      </c>
      <c r="AD327">
        <f t="shared" si="64"/>
        <v>438.78645515732558</v>
      </c>
      <c r="AE327">
        <f t="shared" si="65"/>
        <v>1.2609341877634561</v>
      </c>
      <c r="AF327">
        <f t="shared" si="66"/>
        <v>4.3139009816413589E-2</v>
      </c>
      <c r="AG327">
        <f t="shared" si="67"/>
        <v>4.3139009816413589E-2</v>
      </c>
    </row>
    <row r="328" spans="1:33" x14ac:dyDescent="0.25">
      <c r="A328">
        <v>347.81200000000001</v>
      </c>
      <c r="B328">
        <v>7.75</v>
      </c>
      <c r="C328">
        <v>79.052000000000007</v>
      </c>
      <c r="D328">
        <v>514.226</v>
      </c>
      <c r="E328">
        <v>348.83</v>
      </c>
      <c r="F328">
        <v>2.5539999999999998</v>
      </c>
      <c r="G328">
        <v>80.59</v>
      </c>
      <c r="H328">
        <v>79.212999999999994</v>
      </c>
      <c r="I328">
        <v>5.6479999999999997</v>
      </c>
      <c r="J328">
        <v>7.8019999999999996</v>
      </c>
      <c r="K328">
        <v>54154.534</v>
      </c>
      <c r="L328">
        <v>21.071000000000002</v>
      </c>
      <c r="N328">
        <v>282.30449999999996</v>
      </c>
      <c r="O328">
        <v>353.96300999999994</v>
      </c>
      <c r="P328">
        <v>903.90764799999988</v>
      </c>
      <c r="Q328">
        <v>714.03303999999991</v>
      </c>
      <c r="R328">
        <f t="shared" si="59"/>
        <v>1.7358138306900259</v>
      </c>
      <c r="S328">
        <v>1.6739931102722909</v>
      </c>
      <c r="T328">
        <v>71.658509999999978</v>
      </c>
      <c r="U328">
        <v>189.87460799999997</v>
      </c>
      <c r="V328">
        <v>549.94463799999994</v>
      </c>
      <c r="W328">
        <v>0.21495999748251024</v>
      </c>
      <c r="X328">
        <f t="shared" si="60"/>
        <v>0.67231497717438182</v>
      </c>
      <c r="Y328">
        <f t="shared" si="61"/>
        <v>1.7393677141070281</v>
      </c>
      <c r="AB328" s="6">
        <f t="shared" si="62"/>
        <v>705.59883531747357</v>
      </c>
      <c r="AC328" s="3">
        <f t="shared" si="63"/>
        <v>700.84434899872201</v>
      </c>
      <c r="AD328">
        <f t="shared" si="64"/>
        <v>438.16531798959085</v>
      </c>
      <c r="AE328">
        <f t="shared" si="65"/>
        <v>1.2609341877634561</v>
      </c>
      <c r="AF328">
        <f t="shared" si="66"/>
        <v>4.3139009816413589E-2</v>
      </c>
      <c r="AG328">
        <f t="shared" si="67"/>
        <v>4.3139009816413589E-2</v>
      </c>
    </row>
    <row r="329" spans="1:33" x14ac:dyDescent="0.25">
      <c r="A329">
        <v>348.81200000000001</v>
      </c>
      <c r="B329">
        <v>7.7960000000000003</v>
      </c>
      <c r="C329">
        <v>79.063999999999993</v>
      </c>
      <c r="D329">
        <v>513.80899999999997</v>
      </c>
      <c r="E329">
        <v>349.15199999999999</v>
      </c>
      <c r="F329">
        <v>2.54</v>
      </c>
      <c r="G329">
        <v>80.418000000000006</v>
      </c>
      <c r="H329">
        <v>78.994</v>
      </c>
      <c r="I329">
        <v>5.3940000000000001</v>
      </c>
      <c r="J329">
        <v>8.032</v>
      </c>
      <c r="K329">
        <v>54170.385000000002</v>
      </c>
      <c r="L329">
        <v>21.257000000000001</v>
      </c>
      <c r="N329">
        <v>282.35072999999994</v>
      </c>
      <c r="O329">
        <v>353.9750699999999</v>
      </c>
      <c r="P329">
        <v>903.42893199999992</v>
      </c>
      <c r="Q329">
        <v>714.40269599999988</v>
      </c>
      <c r="R329">
        <f t="shared" si="59"/>
        <v>1.7344209732176536</v>
      </c>
      <c r="S329">
        <v>1.6758866420555769</v>
      </c>
      <c r="T329">
        <v>71.624339999999961</v>
      </c>
      <c r="U329">
        <v>189.02623600000004</v>
      </c>
      <c r="V329">
        <v>549.45386200000007</v>
      </c>
      <c r="W329">
        <v>0.2136701625367774</v>
      </c>
      <c r="X329">
        <f t="shared" si="60"/>
        <v>0.67168754872233627</v>
      </c>
      <c r="Y329">
        <f t="shared" si="61"/>
        <v>1.7289592850567166</v>
      </c>
      <c r="AB329" s="6">
        <f t="shared" si="62"/>
        <v>705.0571176226166</v>
      </c>
      <c r="AC329" s="3">
        <f t="shared" si="63"/>
        <v>700.29538027509432</v>
      </c>
      <c r="AD329">
        <f t="shared" si="64"/>
        <v>435.89649007709153</v>
      </c>
      <c r="AE329">
        <f t="shared" si="65"/>
        <v>1.2609341877634561</v>
      </c>
      <c r="AF329">
        <f t="shared" si="66"/>
        <v>4.3139009816413589E-2</v>
      </c>
      <c r="AG329">
        <f t="shared" si="67"/>
        <v>4.3139009816413589E-2</v>
      </c>
    </row>
    <row r="330" spans="1:33" x14ac:dyDescent="0.25">
      <c r="A330">
        <v>349.81200000000001</v>
      </c>
      <c r="B330">
        <v>8.0389999999999997</v>
      </c>
      <c r="C330">
        <v>79.081000000000003</v>
      </c>
      <c r="D330">
        <v>514.13099999999997</v>
      </c>
      <c r="E330">
        <v>348.93400000000003</v>
      </c>
      <c r="F330">
        <v>2.5499999999999998</v>
      </c>
      <c r="G330">
        <v>80.805999999999997</v>
      </c>
      <c r="H330">
        <v>79.275000000000006</v>
      </c>
      <c r="I330">
        <v>5.1150000000000002</v>
      </c>
      <c r="J330">
        <v>8.0640000000000001</v>
      </c>
      <c r="K330">
        <v>54181.012000000002</v>
      </c>
      <c r="L330">
        <v>20.643000000000001</v>
      </c>
      <c r="N330">
        <v>282.59494499999994</v>
      </c>
      <c r="O330">
        <v>353.99215499999997</v>
      </c>
      <c r="P330">
        <v>903.79858799999988</v>
      </c>
      <c r="Q330">
        <v>714.15243199999998</v>
      </c>
      <c r="R330">
        <f t="shared" si="59"/>
        <v>1.7379160773220177</v>
      </c>
      <c r="S330">
        <v>1.6827786217373293</v>
      </c>
      <c r="T330">
        <v>71.39721000000003</v>
      </c>
      <c r="U330">
        <v>189.64615599999991</v>
      </c>
      <c r="V330">
        <v>549.80643299999997</v>
      </c>
      <c r="W330">
        <v>0.21507377670133568</v>
      </c>
      <c r="X330">
        <f t="shared" si="60"/>
        <v>0.67707239842864608</v>
      </c>
      <c r="Y330">
        <f t="shared" si="61"/>
        <v>1.7211101211649884</v>
      </c>
      <c r="AB330" s="6">
        <f t="shared" si="62"/>
        <v>704.73577627902398</v>
      </c>
      <c r="AC330" s="3">
        <f t="shared" si="63"/>
        <v>699.93663536501379</v>
      </c>
      <c r="AD330">
        <f t="shared" si="64"/>
        <v>435.62423984052919</v>
      </c>
      <c r="AE330">
        <f t="shared" si="65"/>
        <v>1.2609341877634561</v>
      </c>
      <c r="AF330">
        <f t="shared" si="66"/>
        <v>4.3139009816413589E-2</v>
      </c>
      <c r="AG330">
        <f t="shared" si="67"/>
        <v>4.3139009816413589E-2</v>
      </c>
    </row>
    <row r="331" spans="1:33" x14ac:dyDescent="0.25">
      <c r="A331">
        <v>350.81200000000001</v>
      </c>
      <c r="B331">
        <v>8.3160000000000007</v>
      </c>
      <c r="C331">
        <v>79.150999999999996</v>
      </c>
      <c r="D331">
        <v>517.51400000000001</v>
      </c>
      <c r="E331">
        <v>349.37</v>
      </c>
      <c r="F331">
        <v>2.548</v>
      </c>
      <c r="G331">
        <v>80.608000000000004</v>
      </c>
      <c r="H331">
        <v>79.132999999999996</v>
      </c>
      <c r="I331">
        <v>5.375</v>
      </c>
      <c r="J331">
        <v>7.8739999999999997</v>
      </c>
      <c r="K331">
        <v>54201.222999999998</v>
      </c>
      <c r="L331">
        <v>21.361999999999998</v>
      </c>
      <c r="N331">
        <v>282.8733299999999</v>
      </c>
      <c r="O331">
        <v>354.06250499999993</v>
      </c>
      <c r="P331">
        <v>907.6822719999999</v>
      </c>
      <c r="Q331">
        <v>714.65295999999989</v>
      </c>
      <c r="R331">
        <f t="shared" si="59"/>
        <v>1.7360817742908872</v>
      </c>
      <c r="S331">
        <v>1.6774557979334097</v>
      </c>
      <c r="T331">
        <v>71.189175000000034</v>
      </c>
      <c r="U331">
        <v>193.029312</v>
      </c>
      <c r="V331">
        <v>553.61976699999991</v>
      </c>
      <c r="W331">
        <v>0.22007909446629276</v>
      </c>
      <c r="X331">
        <f t="shared" si="60"/>
        <v>0.67831616203809075</v>
      </c>
      <c r="Y331">
        <f t="shared" si="61"/>
        <v>1.7543219959715686</v>
      </c>
      <c r="AB331" s="6">
        <f t="shared" si="62"/>
        <v>708.23680571522652</v>
      </c>
      <c r="AC331" s="3">
        <f t="shared" si="63"/>
        <v>703.44452697773977</v>
      </c>
      <c r="AD331">
        <f t="shared" si="64"/>
        <v>443.62798144634672</v>
      </c>
      <c r="AE331">
        <f t="shared" si="65"/>
        <v>1.2609341877634561</v>
      </c>
      <c r="AF331">
        <f t="shared" si="66"/>
        <v>4.3139009816413589E-2</v>
      </c>
      <c r="AG331">
        <f t="shared" si="67"/>
        <v>4.3139009816413589E-2</v>
      </c>
    </row>
    <row r="332" spans="1:33" x14ac:dyDescent="0.25">
      <c r="A332">
        <v>351.81200000000001</v>
      </c>
      <c r="B332">
        <v>8.5419999999999998</v>
      </c>
      <c r="C332">
        <v>79.194999999999993</v>
      </c>
      <c r="D332">
        <v>518.46600000000001</v>
      </c>
      <c r="E332">
        <v>348.98500000000001</v>
      </c>
      <c r="F332">
        <v>2.5150000000000001</v>
      </c>
      <c r="G332">
        <v>80.326999999999998</v>
      </c>
      <c r="H332">
        <v>78.876000000000005</v>
      </c>
      <c r="I332">
        <v>5.29</v>
      </c>
      <c r="J332">
        <v>8.7059999999999995</v>
      </c>
      <c r="K332">
        <v>54203.826999999997</v>
      </c>
      <c r="L332">
        <v>22.08</v>
      </c>
      <c r="N332">
        <v>283.10045999999994</v>
      </c>
      <c r="O332">
        <v>354.10672499999993</v>
      </c>
      <c r="P332">
        <v>908.77516799999989</v>
      </c>
      <c r="Q332">
        <v>714.21097999999995</v>
      </c>
      <c r="R332">
        <f t="shared" si="59"/>
        <v>1.7339716077913503</v>
      </c>
      <c r="S332">
        <v>1.6764040812574685</v>
      </c>
      <c r="T332">
        <v>71.006264999999985</v>
      </c>
      <c r="U332">
        <v>194.56418799999994</v>
      </c>
      <c r="V332">
        <v>554.66844300000002</v>
      </c>
      <c r="W332">
        <v>0.22275996509143384</v>
      </c>
      <c r="X332">
        <f t="shared" si="60"/>
        <v>0.67898787405429806</v>
      </c>
      <c r="Y332">
        <f t="shared" si="61"/>
        <v>1.7681533937098817</v>
      </c>
      <c r="AB332" s="6">
        <f t="shared" si="62"/>
        <v>709.1832990146039</v>
      </c>
      <c r="AC332" s="3">
        <f t="shared" si="63"/>
        <v>704.39070012010416</v>
      </c>
      <c r="AD332">
        <f t="shared" si="64"/>
        <v>447.06028065299046</v>
      </c>
      <c r="AE332">
        <f t="shared" si="65"/>
        <v>1.2609341877634561</v>
      </c>
      <c r="AF332">
        <f t="shared" si="66"/>
        <v>4.3139009816413589E-2</v>
      </c>
      <c r="AG332">
        <f t="shared" si="67"/>
        <v>4.3139009816413589E-2</v>
      </c>
    </row>
    <row r="333" spans="1:33" x14ac:dyDescent="0.25">
      <c r="A333">
        <v>352.81200000000001</v>
      </c>
      <c r="B333">
        <v>8.8309999999999995</v>
      </c>
      <c r="C333">
        <v>79.010999999999996</v>
      </c>
      <c r="D333">
        <v>518.69399999999996</v>
      </c>
      <c r="E333">
        <v>348.72399999999999</v>
      </c>
      <c r="F333">
        <v>2.5470000000000002</v>
      </c>
      <c r="G333">
        <v>80.150000000000006</v>
      </c>
      <c r="H333">
        <v>78.844999999999999</v>
      </c>
      <c r="I333">
        <v>5.3579999999999997</v>
      </c>
      <c r="J333">
        <v>7.4950000000000001</v>
      </c>
      <c r="K333">
        <v>54179.790999999997</v>
      </c>
      <c r="L333">
        <v>21.696000000000002</v>
      </c>
      <c r="N333">
        <v>283.39090499999998</v>
      </c>
      <c r="O333">
        <v>353.92180499999989</v>
      </c>
      <c r="P333">
        <v>909.0369119999998</v>
      </c>
      <c r="Q333">
        <v>713.91135199999997</v>
      </c>
      <c r="R333">
        <f t="shared" si="59"/>
        <v>1.7317793054023216</v>
      </c>
      <c r="S333">
        <v>1.675072112293079</v>
      </c>
      <c r="T333">
        <v>70.530899999999917</v>
      </c>
      <c r="U333">
        <v>195.12555999999984</v>
      </c>
      <c r="V333">
        <v>555.11510699999985</v>
      </c>
      <c r="W333">
        <v>0.22444833229876404</v>
      </c>
      <c r="X333">
        <f t="shared" si="60"/>
        <v>0.6825660413476563</v>
      </c>
      <c r="Y333">
        <f t="shared" si="61"/>
        <v>1.775303476266489</v>
      </c>
      <c r="AB333" s="6">
        <f t="shared" si="62"/>
        <v>709.50641549449995</v>
      </c>
      <c r="AC333" s="3">
        <f t="shared" si="63"/>
        <v>704.71934662790113</v>
      </c>
      <c r="AD333">
        <f t="shared" si="64"/>
        <v>448.55771755190193</v>
      </c>
      <c r="AE333">
        <f t="shared" si="65"/>
        <v>1.2609341877634561</v>
      </c>
      <c r="AF333">
        <f t="shared" si="66"/>
        <v>4.3139009816413589E-2</v>
      </c>
      <c r="AG333">
        <f t="shared" si="67"/>
        <v>4.3139009816413589E-2</v>
      </c>
    </row>
    <row r="334" spans="1:33" x14ac:dyDescent="0.25">
      <c r="A334">
        <v>353.81200000000001</v>
      </c>
      <c r="B334">
        <v>9.08</v>
      </c>
      <c r="C334">
        <v>78.997</v>
      </c>
      <c r="D334">
        <v>519.38400000000001</v>
      </c>
      <c r="E334">
        <v>348.58600000000001</v>
      </c>
      <c r="F334">
        <v>2.5499999999999998</v>
      </c>
      <c r="G334">
        <v>80.655000000000001</v>
      </c>
      <c r="H334">
        <v>79.102999999999994</v>
      </c>
      <c r="I334">
        <v>5.3730000000000002</v>
      </c>
      <c r="J334">
        <v>8.3279999999999994</v>
      </c>
      <c r="K334">
        <v>54177.47</v>
      </c>
      <c r="L334">
        <v>21.724</v>
      </c>
      <c r="N334">
        <v>283.64114999999993</v>
      </c>
      <c r="O334">
        <v>353.90773499999995</v>
      </c>
      <c r="P334">
        <v>909.82903199999987</v>
      </c>
      <c r="Q334">
        <v>713.75292799999988</v>
      </c>
      <c r="R334">
        <f t="shared" si="59"/>
        <v>1.7364922206506366</v>
      </c>
      <c r="S334">
        <v>1.6772110624305383</v>
      </c>
      <c r="T334">
        <v>70.266585000000021</v>
      </c>
      <c r="U334">
        <v>196.07610399999999</v>
      </c>
      <c r="V334">
        <v>555.92129699999987</v>
      </c>
      <c r="W334">
        <v>0.22630814771609659</v>
      </c>
      <c r="X334">
        <f t="shared" si="60"/>
        <v>0.68940691385649389</v>
      </c>
      <c r="Y334">
        <f t="shared" si="61"/>
        <v>1.7782775700742288</v>
      </c>
      <c r="AB334" s="6">
        <f t="shared" si="62"/>
        <v>709.93368918695364</v>
      </c>
      <c r="AC334" s="3">
        <f t="shared" si="63"/>
        <v>705.13134553503244</v>
      </c>
      <c r="AD334">
        <f t="shared" si="64"/>
        <v>450.00210485423912</v>
      </c>
      <c r="AE334">
        <f t="shared" si="65"/>
        <v>1.2609341877634561</v>
      </c>
      <c r="AF334">
        <f t="shared" si="66"/>
        <v>4.3139009816413589E-2</v>
      </c>
      <c r="AG334">
        <f t="shared" si="67"/>
        <v>4.3139009816413589E-2</v>
      </c>
    </row>
    <row r="335" spans="1:33" x14ac:dyDescent="0.25">
      <c r="A335">
        <v>354.81200000000001</v>
      </c>
      <c r="B335">
        <v>9.2569999999999997</v>
      </c>
      <c r="C335">
        <v>79.001999999999995</v>
      </c>
      <c r="D335">
        <v>521.27200000000005</v>
      </c>
      <c r="E335">
        <v>348.649</v>
      </c>
      <c r="F335">
        <v>2.5270000000000001</v>
      </c>
      <c r="G335">
        <v>80.141000000000005</v>
      </c>
      <c r="H335">
        <v>78.697999999999993</v>
      </c>
      <c r="I335">
        <v>5.1660000000000004</v>
      </c>
      <c r="J335">
        <v>7.7050000000000001</v>
      </c>
      <c r="K335">
        <v>54191.097000000002</v>
      </c>
      <c r="L335">
        <v>22.239000000000001</v>
      </c>
      <c r="N335">
        <v>283.81903499999993</v>
      </c>
      <c r="O335">
        <v>353.91275999999993</v>
      </c>
      <c r="P335">
        <v>911.99645599999997</v>
      </c>
      <c r="Q335">
        <v>713.82525199999986</v>
      </c>
      <c r="R335">
        <f t="shared" si="59"/>
        <v>1.7320210889679046</v>
      </c>
      <c r="S335">
        <v>1.6766789980306627</v>
      </c>
      <c r="T335">
        <v>70.093725000000006</v>
      </c>
      <c r="U335">
        <v>198.1712040000001</v>
      </c>
      <c r="V335">
        <v>558.08369600000003</v>
      </c>
      <c r="W335">
        <v>0.22949510963674541</v>
      </c>
      <c r="X335">
        <f t="shared" si="60"/>
        <v>0.68804977168319226</v>
      </c>
      <c r="Y335">
        <f t="shared" si="61"/>
        <v>1.794038538499598</v>
      </c>
      <c r="AB335" s="6">
        <f t="shared" si="62"/>
        <v>711.67250671199213</v>
      </c>
      <c r="AC335" s="3">
        <f t="shared" si="63"/>
        <v>706.86148966036376</v>
      </c>
      <c r="AD335">
        <f t="shared" si="64"/>
        <v>454.25716440220731</v>
      </c>
      <c r="AE335">
        <f t="shared" si="65"/>
        <v>1.2609341877634561</v>
      </c>
      <c r="AF335">
        <f t="shared" si="66"/>
        <v>4.3139009816413589E-2</v>
      </c>
      <c r="AG335">
        <f t="shared" si="67"/>
        <v>4.3139009816413589E-2</v>
      </c>
    </row>
    <row r="336" spans="1:33" x14ac:dyDescent="0.25">
      <c r="A336">
        <v>355.81200000000001</v>
      </c>
      <c r="B336">
        <v>9.282</v>
      </c>
      <c r="C336">
        <v>79.108999999999995</v>
      </c>
      <c r="D336">
        <v>521.87599999999998</v>
      </c>
      <c r="E336">
        <v>348.613</v>
      </c>
      <c r="F336">
        <v>2.5099999999999998</v>
      </c>
      <c r="G336">
        <v>79.983000000000004</v>
      </c>
      <c r="H336">
        <v>78.584999999999994</v>
      </c>
      <c r="I336">
        <v>5.2770000000000001</v>
      </c>
      <c r="J336">
        <v>8.0950000000000006</v>
      </c>
      <c r="K336">
        <v>54188.461000000003</v>
      </c>
      <c r="L336">
        <v>21.669</v>
      </c>
      <c r="N336">
        <v>283.84415999999993</v>
      </c>
      <c r="O336">
        <v>354.02029499999992</v>
      </c>
      <c r="P336">
        <v>912.68984799999987</v>
      </c>
      <c r="Q336">
        <v>713.78392399999984</v>
      </c>
      <c r="R336">
        <f t="shared" si="59"/>
        <v>1.7308084143005376</v>
      </c>
      <c r="S336">
        <v>1.6739292313632474</v>
      </c>
      <c r="T336">
        <v>70.176134999999988</v>
      </c>
      <c r="U336">
        <v>198.90592400000003</v>
      </c>
      <c r="V336">
        <v>558.66955299999995</v>
      </c>
      <c r="W336">
        <v>0.23042205953185363</v>
      </c>
      <c r="X336">
        <f t="shared" si="60"/>
        <v>0.68635576346653737</v>
      </c>
      <c r="Y336">
        <f t="shared" si="61"/>
        <v>1.8046925096941937</v>
      </c>
      <c r="AB336" s="6">
        <f t="shared" si="62"/>
        <v>712.46003421935336</v>
      </c>
      <c r="AC336" s="3">
        <f t="shared" si="63"/>
        <v>707.65968737164133</v>
      </c>
      <c r="AD336">
        <f t="shared" si="64"/>
        <v>456.33363953102941</v>
      </c>
      <c r="AE336">
        <f t="shared" si="65"/>
        <v>1.2609341877634561</v>
      </c>
      <c r="AF336">
        <f t="shared" si="66"/>
        <v>4.3139009816413589E-2</v>
      </c>
      <c r="AG336">
        <f t="shared" si="67"/>
        <v>4.3139009816413589E-2</v>
      </c>
    </row>
    <row r="337" spans="1:33" x14ac:dyDescent="0.25">
      <c r="A337">
        <v>356.81200000000001</v>
      </c>
      <c r="B337">
        <v>9.2579999999999991</v>
      </c>
      <c r="C337">
        <v>79.158000000000001</v>
      </c>
      <c r="D337">
        <v>520.20000000000005</v>
      </c>
      <c r="E337">
        <v>348.01400000000001</v>
      </c>
      <c r="F337">
        <v>2.5409999999999999</v>
      </c>
      <c r="G337">
        <v>80.293000000000006</v>
      </c>
      <c r="H337">
        <v>78.94</v>
      </c>
      <c r="I337">
        <v>5.3390000000000004</v>
      </c>
      <c r="J337">
        <v>7.8739999999999997</v>
      </c>
      <c r="K337">
        <v>54175.877</v>
      </c>
      <c r="L337">
        <v>21.646999999999998</v>
      </c>
      <c r="N337">
        <v>283.82003999999995</v>
      </c>
      <c r="O337">
        <v>354.06953999999996</v>
      </c>
      <c r="P337">
        <v>910.7657999999999</v>
      </c>
      <c r="Q337">
        <v>713.09627199999989</v>
      </c>
      <c r="R337">
        <f t="shared" si="59"/>
        <v>1.7332258277458721</v>
      </c>
      <c r="S337">
        <v>1.6762373781457014</v>
      </c>
      <c r="T337">
        <v>70.249500000000012</v>
      </c>
      <c r="U337">
        <v>197.66952800000001</v>
      </c>
      <c r="V337">
        <v>556.69625999999994</v>
      </c>
      <c r="W337">
        <v>0.22888608592412676</v>
      </c>
      <c r="X337">
        <f t="shared" si="60"/>
        <v>0.68746560556118308</v>
      </c>
      <c r="Y337">
        <f t="shared" si="61"/>
        <v>1.7927710021202443</v>
      </c>
      <c r="AB337" s="6">
        <f t="shared" si="62"/>
        <v>710.7516314270639</v>
      </c>
      <c r="AC337" s="3">
        <f t="shared" si="63"/>
        <v>705.94940069607924</v>
      </c>
      <c r="AD337">
        <f t="shared" si="64"/>
        <v>453.53412413680485</v>
      </c>
      <c r="AE337">
        <f t="shared" si="65"/>
        <v>1.2609341877634561</v>
      </c>
      <c r="AF337">
        <f t="shared" si="66"/>
        <v>4.3139009816413589E-2</v>
      </c>
      <c r="AG337">
        <f t="shared" si="67"/>
        <v>4.3139009816413589E-2</v>
      </c>
    </row>
    <row r="338" spans="1:33" x14ac:dyDescent="0.25">
      <c r="A338">
        <v>357.81200000000001</v>
      </c>
      <c r="B338">
        <v>9.0389999999999997</v>
      </c>
      <c r="C338">
        <v>79.150999999999996</v>
      </c>
      <c r="D338">
        <v>518.72500000000002</v>
      </c>
      <c r="E338">
        <v>348.12</v>
      </c>
      <c r="F338">
        <v>2.5449999999999999</v>
      </c>
      <c r="G338">
        <v>80.222999999999999</v>
      </c>
      <c r="H338">
        <v>78.753</v>
      </c>
      <c r="I338">
        <v>5.3810000000000002</v>
      </c>
      <c r="J338">
        <v>8.6300000000000008</v>
      </c>
      <c r="K338">
        <v>54152.091</v>
      </c>
      <c r="L338">
        <v>21.707000000000001</v>
      </c>
      <c r="N338">
        <v>283.59994499999993</v>
      </c>
      <c r="O338">
        <v>354.06250499999993</v>
      </c>
      <c r="P338">
        <v>909.07249999999988</v>
      </c>
      <c r="Q338">
        <v>713.21795999999995</v>
      </c>
      <c r="R338">
        <f t="shared" si="59"/>
        <v>1.7325003536234618</v>
      </c>
      <c r="S338">
        <v>1.6738733112296911</v>
      </c>
      <c r="T338">
        <v>70.462559999999996</v>
      </c>
      <c r="U338">
        <v>195.85453999999993</v>
      </c>
      <c r="V338">
        <v>555.00999499999989</v>
      </c>
      <c r="W338">
        <v>0.22592742676643141</v>
      </c>
      <c r="X338">
        <f t="shared" si="60"/>
        <v>0.68429207253664948</v>
      </c>
      <c r="Y338">
        <f t="shared" si="61"/>
        <v>1.7841864243473515</v>
      </c>
      <c r="AB338" s="6">
        <f t="shared" si="62"/>
        <v>709.64127262833824</v>
      </c>
      <c r="AC338" s="3">
        <f t="shared" si="63"/>
        <v>704.86024196719518</v>
      </c>
      <c r="AD338">
        <f t="shared" si="64"/>
        <v>450.44471575839879</v>
      </c>
      <c r="AE338">
        <f t="shared" si="65"/>
        <v>1.2609341877634561</v>
      </c>
      <c r="AF338">
        <f t="shared" si="66"/>
        <v>4.3139009816413589E-2</v>
      </c>
      <c r="AG338">
        <f t="shared" si="67"/>
        <v>4.3139009816413589E-2</v>
      </c>
    </row>
    <row r="339" spans="1:33" x14ac:dyDescent="0.25">
      <c r="A339">
        <v>358.81200000000001</v>
      </c>
      <c r="B339">
        <v>8.8620000000000001</v>
      </c>
      <c r="C339">
        <v>79.191999999999993</v>
      </c>
      <c r="D339">
        <v>517.38400000000001</v>
      </c>
      <c r="E339">
        <v>348.70699999999999</v>
      </c>
      <c r="F339">
        <v>2.5329999999999999</v>
      </c>
      <c r="G339">
        <v>80.251999999999995</v>
      </c>
      <c r="H339">
        <v>78.727000000000004</v>
      </c>
      <c r="I339">
        <v>5.5919999999999996</v>
      </c>
      <c r="J339">
        <v>8.1769999999999996</v>
      </c>
      <c r="K339">
        <v>54143.252</v>
      </c>
      <c r="L339">
        <v>21.713000000000001</v>
      </c>
      <c r="N339">
        <v>283.42205999999999</v>
      </c>
      <c r="O339">
        <v>354.10370999999992</v>
      </c>
      <c r="P339">
        <v>907.53303199999993</v>
      </c>
      <c r="Q339">
        <v>713.8918359999999</v>
      </c>
      <c r="R339">
        <f t="shared" si="59"/>
        <v>1.7329699244574803</v>
      </c>
      <c r="S339">
        <v>1.6703974626920397</v>
      </c>
      <c r="T339">
        <v>70.681649999999934</v>
      </c>
      <c r="U339">
        <v>193.64119600000004</v>
      </c>
      <c r="V339">
        <v>553.42932199999996</v>
      </c>
      <c r="W339">
        <v>0.22217750507986295</v>
      </c>
      <c r="X339">
        <f t="shared" si="60"/>
        <v>0.68210638280639646</v>
      </c>
      <c r="Y339">
        <f t="shared" si="61"/>
        <v>1.773724158527519</v>
      </c>
      <c r="AB339" s="6">
        <f t="shared" si="62"/>
        <v>708.75002062384635</v>
      </c>
      <c r="AC339" s="3">
        <f t="shared" si="63"/>
        <v>703.99513810197698</v>
      </c>
      <c r="AD339">
        <f t="shared" si="64"/>
        <v>446.66136541271544</v>
      </c>
      <c r="AE339">
        <f t="shared" si="65"/>
        <v>1.2609341877634561</v>
      </c>
      <c r="AF339">
        <f t="shared" si="66"/>
        <v>4.3139009816413589E-2</v>
      </c>
      <c r="AG339">
        <f t="shared" si="67"/>
        <v>4.3139009816413589E-2</v>
      </c>
    </row>
    <row r="340" spans="1:33" x14ac:dyDescent="0.25">
      <c r="A340">
        <v>359.81200000000001</v>
      </c>
      <c r="B340">
        <v>8.6440000000000001</v>
      </c>
      <c r="C340">
        <v>79.233999999999995</v>
      </c>
      <c r="D340">
        <v>515.24300000000005</v>
      </c>
      <c r="E340">
        <v>348.67</v>
      </c>
      <c r="F340">
        <v>2.5299999999999998</v>
      </c>
      <c r="G340">
        <v>80.56</v>
      </c>
      <c r="H340">
        <v>79.242000000000004</v>
      </c>
      <c r="I340">
        <v>5.3209999999999997</v>
      </c>
      <c r="J340">
        <v>8.1010000000000009</v>
      </c>
      <c r="K340">
        <v>54127.546000000002</v>
      </c>
      <c r="L340">
        <v>21.811</v>
      </c>
      <c r="N340">
        <v>283.20296999999994</v>
      </c>
      <c r="O340">
        <v>354.14591999999993</v>
      </c>
      <c r="P340">
        <v>905.07516399999997</v>
      </c>
      <c r="Q340">
        <v>713.84935999999982</v>
      </c>
      <c r="R340">
        <f t="shared" si="59"/>
        <v>1.7359237951523154</v>
      </c>
      <c r="S340">
        <v>1.6792898429531067</v>
      </c>
      <c r="T340">
        <v>70.942949999999996</v>
      </c>
      <c r="U340">
        <v>191.22580400000015</v>
      </c>
      <c r="V340">
        <v>550.92924400000004</v>
      </c>
      <c r="W340">
        <v>0.21832722678994354</v>
      </c>
      <c r="X340">
        <f t="shared" si="60"/>
        <v>0.68134211910050424</v>
      </c>
      <c r="Y340">
        <f t="shared" si="61"/>
        <v>1.7394953260465247</v>
      </c>
      <c r="AC340" s="3">
        <f t="shared" si="63"/>
        <v>701.25196102721361</v>
      </c>
      <c r="AD340" t="e">
        <f t="shared" si="64"/>
        <v>#NUM!</v>
      </c>
      <c r="AE340">
        <f t="shared" si="65"/>
        <v>1.2609341877634561</v>
      </c>
      <c r="AF340">
        <f t="shared" si="66"/>
        <v>4.3139009816413589E-2</v>
      </c>
      <c r="AG340">
        <f t="shared" si="67"/>
        <v>4.3139009816413589E-2</v>
      </c>
    </row>
    <row r="341" spans="1:33" x14ac:dyDescent="0.25">
      <c r="A341">
        <v>360.81200000000001</v>
      </c>
      <c r="B341">
        <v>8.6950000000000003</v>
      </c>
      <c r="C341">
        <v>79.278000000000006</v>
      </c>
      <c r="D341">
        <v>515.39200000000005</v>
      </c>
      <c r="E341">
        <v>348.77499999999998</v>
      </c>
      <c r="F341">
        <v>2.5259999999999998</v>
      </c>
      <c r="G341">
        <v>80.58</v>
      </c>
      <c r="H341">
        <v>79.171999999999997</v>
      </c>
      <c r="I341">
        <v>5.266</v>
      </c>
      <c r="J341">
        <v>8.1</v>
      </c>
      <c r="K341">
        <v>54139.425999999999</v>
      </c>
      <c r="L341">
        <v>21.361999999999998</v>
      </c>
      <c r="N341">
        <v>283.25422499999996</v>
      </c>
      <c r="O341">
        <v>354.19013999999999</v>
      </c>
      <c r="P341">
        <v>905.246216</v>
      </c>
      <c r="Q341">
        <v>713.96989999999994</v>
      </c>
      <c r="R341">
        <f t="shared" si="59"/>
        <v>1.7361779186237336</v>
      </c>
      <c r="S341">
        <v>1.6794954305573431</v>
      </c>
      <c r="T341">
        <v>70.935915000000023</v>
      </c>
      <c r="U341">
        <v>191.27631600000007</v>
      </c>
      <c r="V341">
        <v>551.05607600000008</v>
      </c>
      <c r="W341">
        <v>0.21838140661387068</v>
      </c>
      <c r="X341">
        <f t="shared" si="60"/>
        <v>0.68172852517175742</v>
      </c>
      <c r="Y341">
        <f t="shared" si="61"/>
        <v>1.7392413249351799</v>
      </c>
      <c r="AC341" s="3">
        <f t="shared" si="63"/>
        <v>701.36521330212713</v>
      </c>
      <c r="AD341" t="e">
        <f t="shared" si="64"/>
        <v>#NUM!</v>
      </c>
      <c r="AE341">
        <f t="shared" si="65"/>
        <v>1.2609341877634561</v>
      </c>
      <c r="AF341">
        <f t="shared" si="66"/>
        <v>4.3139009816413589E-2</v>
      </c>
      <c r="AG341">
        <f t="shared" si="67"/>
        <v>4.3139009816413589E-2</v>
      </c>
    </row>
    <row r="342" spans="1:33" x14ac:dyDescent="0.25">
      <c r="A342">
        <v>361.81299999999999</v>
      </c>
      <c r="B342">
        <v>8.9220000000000006</v>
      </c>
      <c r="C342">
        <v>79.262</v>
      </c>
      <c r="D342">
        <v>517.45799999999997</v>
      </c>
      <c r="E342">
        <v>348.71800000000002</v>
      </c>
      <c r="F342">
        <v>2.5390000000000001</v>
      </c>
      <c r="G342">
        <v>80.27</v>
      </c>
      <c r="H342">
        <v>78.897000000000006</v>
      </c>
      <c r="I342">
        <v>5.415</v>
      </c>
      <c r="J342">
        <v>7.9459999999999997</v>
      </c>
      <c r="K342">
        <v>54150.053</v>
      </c>
      <c r="L342">
        <v>21.734999999999999</v>
      </c>
      <c r="N342">
        <v>283.48235999999997</v>
      </c>
      <c r="O342">
        <v>354.17405999999994</v>
      </c>
      <c r="P342">
        <v>907.61798399999986</v>
      </c>
      <c r="Q342">
        <v>713.90446399999985</v>
      </c>
      <c r="R342">
        <f t="shared" si="59"/>
        <v>1.7330416167636433</v>
      </c>
      <c r="S342">
        <v>1.6746729100674835</v>
      </c>
      <c r="T342">
        <v>70.691699999999969</v>
      </c>
      <c r="U342">
        <v>193.71352000000002</v>
      </c>
      <c r="V342">
        <v>553.44392399999992</v>
      </c>
      <c r="W342">
        <v>0.22228416405923007</v>
      </c>
      <c r="X342">
        <f t="shared" si="60"/>
        <v>0.68220997364029423</v>
      </c>
      <c r="Y342">
        <f t="shared" si="61"/>
        <v>1.7659762429066119</v>
      </c>
      <c r="AC342" s="3">
        <f t="shared" si="63"/>
        <v>703.65700016816345</v>
      </c>
      <c r="AD342" t="e">
        <f t="shared" si="64"/>
        <v>#NUM!</v>
      </c>
      <c r="AE342">
        <f t="shared" si="65"/>
        <v>1.2609341877634561</v>
      </c>
      <c r="AF342">
        <f t="shared" si="66"/>
        <v>4.3139009816413589E-2</v>
      </c>
      <c r="AG342">
        <f t="shared" si="67"/>
        <v>4.3139009816413589E-2</v>
      </c>
    </row>
    <row r="343" spans="1:33" x14ac:dyDescent="0.25">
      <c r="A343">
        <v>362.81299999999999</v>
      </c>
      <c r="B343">
        <v>9.0210000000000008</v>
      </c>
      <c r="C343">
        <v>79.212999999999994</v>
      </c>
      <c r="D343">
        <v>515.57100000000003</v>
      </c>
      <c r="E343">
        <v>348.85700000000003</v>
      </c>
      <c r="F343">
        <v>2.5289999999999999</v>
      </c>
      <c r="G343">
        <v>80.488</v>
      </c>
      <c r="H343">
        <v>78.977999999999994</v>
      </c>
      <c r="I343">
        <v>5.37</v>
      </c>
      <c r="J343">
        <v>7.492</v>
      </c>
      <c r="K343">
        <v>54155.035000000003</v>
      </c>
      <c r="L343">
        <v>21.795000000000002</v>
      </c>
      <c r="N343">
        <v>283.58185499999996</v>
      </c>
      <c r="O343">
        <v>354.1248149999999</v>
      </c>
      <c r="P343">
        <v>905.45170799999994</v>
      </c>
      <c r="Q343">
        <v>714.06403599999999</v>
      </c>
      <c r="R343">
        <f t="shared" si="59"/>
        <v>1.7352611078101274</v>
      </c>
      <c r="S343">
        <v>1.6761091209699641</v>
      </c>
      <c r="T343">
        <v>70.542959999999937</v>
      </c>
      <c r="U343">
        <v>191.38767199999995</v>
      </c>
      <c r="V343">
        <v>551.32689300000004</v>
      </c>
      <c r="W343">
        <v>0.21918885788870815</v>
      </c>
      <c r="X343">
        <f t="shared" si="60"/>
        <v>0.68560877495027328</v>
      </c>
      <c r="Y343">
        <f t="shared" si="61"/>
        <v>1.7462272110550534</v>
      </c>
      <c r="AC343" s="3">
        <f t="shared" si="63"/>
        <v>701.84242025988794</v>
      </c>
      <c r="AD343" t="e">
        <f t="shared" si="64"/>
        <v>#NUM!</v>
      </c>
      <c r="AE343">
        <f t="shared" si="65"/>
        <v>1.2609341877634561</v>
      </c>
      <c r="AF343">
        <f t="shared" si="66"/>
        <v>4.3139009816413589E-2</v>
      </c>
      <c r="AG343">
        <f t="shared" si="67"/>
        <v>4.3139009816413589E-2</v>
      </c>
    </row>
    <row r="344" spans="1:33" x14ac:dyDescent="0.25">
      <c r="A344">
        <v>363.81299999999999</v>
      </c>
      <c r="B344">
        <v>9.0709999999999997</v>
      </c>
      <c r="C344">
        <v>79.209000000000003</v>
      </c>
      <c r="D344">
        <v>513.88099999999997</v>
      </c>
      <c r="E344">
        <v>349.47500000000002</v>
      </c>
      <c r="F344">
        <v>2.5230000000000001</v>
      </c>
      <c r="G344">
        <v>80.135999999999996</v>
      </c>
      <c r="H344">
        <v>78.793999999999997</v>
      </c>
      <c r="I344">
        <v>5.1269999999999998</v>
      </c>
      <c r="J344">
        <v>6.9649999999999999</v>
      </c>
      <c r="K344">
        <v>54142.669000000002</v>
      </c>
      <c r="L344">
        <v>20.632000000000001</v>
      </c>
      <c r="N344">
        <v>283.63210499999997</v>
      </c>
      <c r="O344">
        <v>354.12079499999993</v>
      </c>
      <c r="P344">
        <v>903.51158799999985</v>
      </c>
      <c r="Q344">
        <v>714.7734999999999</v>
      </c>
      <c r="R344">
        <f t="shared" si="59"/>
        <v>1.7320392744970432</v>
      </c>
      <c r="S344">
        <v>1.678164728842737</v>
      </c>
      <c r="T344">
        <v>70.488689999999963</v>
      </c>
      <c r="U344">
        <v>188.73808799999995</v>
      </c>
      <c r="V344">
        <v>549.39079299999992</v>
      </c>
      <c r="W344">
        <v>0.21523731286847395</v>
      </c>
      <c r="X344">
        <f t="shared" si="60"/>
        <v>0.6837579593445432</v>
      </c>
      <c r="Y344">
        <f t="shared" si="61"/>
        <v>1.7219222832971262</v>
      </c>
      <c r="AC344" s="3">
        <f t="shared" si="63"/>
        <v>700.14585921796152</v>
      </c>
      <c r="AD344" t="e">
        <f t="shared" si="64"/>
        <v>#NUM!</v>
      </c>
      <c r="AE344">
        <f t="shared" si="65"/>
        <v>1.2609341877634561</v>
      </c>
      <c r="AF344">
        <f t="shared" si="66"/>
        <v>4.3139009816413589E-2</v>
      </c>
      <c r="AG344">
        <f t="shared" si="67"/>
        <v>4.3139009816413589E-2</v>
      </c>
    </row>
    <row r="345" spans="1:33" x14ac:dyDescent="0.25">
      <c r="A345">
        <v>364.81299999999999</v>
      </c>
      <c r="B345">
        <v>8.9290000000000003</v>
      </c>
      <c r="C345">
        <v>79.180000000000007</v>
      </c>
      <c r="D345">
        <v>515.49699999999996</v>
      </c>
      <c r="E345">
        <v>349.154</v>
      </c>
      <c r="F345">
        <v>2.5169999999999999</v>
      </c>
      <c r="G345">
        <v>79.974000000000004</v>
      </c>
      <c r="H345">
        <v>78.563999999999993</v>
      </c>
      <c r="I345">
        <v>5.1669999999999998</v>
      </c>
      <c r="J345">
        <v>7.343</v>
      </c>
      <c r="K345">
        <v>54127.724000000002</v>
      </c>
      <c r="L345">
        <v>21.158999999999999</v>
      </c>
      <c r="N345">
        <v>283.48939499999994</v>
      </c>
      <c r="O345">
        <v>354.09164999999996</v>
      </c>
      <c r="P345">
        <v>905.3667559999999</v>
      </c>
      <c r="Q345">
        <v>714.40499199999988</v>
      </c>
      <c r="R345">
        <f t="shared" si="59"/>
        <v>1.7306092419140326</v>
      </c>
      <c r="S345">
        <v>1.6754304434648972</v>
      </c>
      <c r="T345">
        <v>70.602255000000014</v>
      </c>
      <c r="U345">
        <v>190.96176400000002</v>
      </c>
      <c r="V345">
        <v>551.27510599999994</v>
      </c>
      <c r="W345">
        <v>0.21832930181324026</v>
      </c>
      <c r="X345">
        <f t="shared" si="60"/>
        <v>0.68120616681503798</v>
      </c>
      <c r="Y345">
        <f t="shared" si="61"/>
        <v>1.7437858404158644</v>
      </c>
      <c r="AC345" s="3">
        <f t="shared" si="63"/>
        <v>701.84039422787123</v>
      </c>
      <c r="AD345" t="e">
        <f t="shared" si="64"/>
        <v>#NUM!</v>
      </c>
      <c r="AE345">
        <f t="shared" si="65"/>
        <v>1.2609341877634561</v>
      </c>
      <c r="AF345">
        <f t="shared" si="66"/>
        <v>4.3139009816413589E-2</v>
      </c>
      <c r="AG345">
        <f t="shared" si="67"/>
        <v>4.3139009816413589E-2</v>
      </c>
    </row>
    <row r="346" spans="1:33" x14ac:dyDescent="0.25">
      <c r="A346">
        <v>365.81299999999999</v>
      </c>
      <c r="B346">
        <v>8.8089999999999993</v>
      </c>
      <c r="C346">
        <v>79.222999999999999</v>
      </c>
      <c r="D346">
        <v>514.35500000000002</v>
      </c>
      <c r="E346">
        <v>348.87099999999998</v>
      </c>
      <c r="F346">
        <v>2.5430000000000001</v>
      </c>
      <c r="G346">
        <v>80.5</v>
      </c>
      <c r="H346">
        <v>78.972999999999999</v>
      </c>
      <c r="I346">
        <v>5.3049999999999997</v>
      </c>
      <c r="J346">
        <v>8.2520000000000007</v>
      </c>
      <c r="K346">
        <v>54091.088000000003</v>
      </c>
      <c r="L346">
        <v>21.306999999999999</v>
      </c>
      <c r="N346">
        <v>283.36879499999998</v>
      </c>
      <c r="O346">
        <v>354.13486499999993</v>
      </c>
      <c r="P346">
        <v>904.0557399999999</v>
      </c>
      <c r="Q346">
        <v>714.08010799999988</v>
      </c>
      <c r="R346">
        <f t="shared" si="59"/>
        <v>1.7351451769565176</v>
      </c>
      <c r="S346">
        <v>1.6770644731400211</v>
      </c>
      <c r="T346">
        <v>70.766069999999957</v>
      </c>
      <c r="U346">
        <v>189.97563200000002</v>
      </c>
      <c r="V346">
        <v>549.92087500000002</v>
      </c>
      <c r="W346">
        <v>0.21677584434306127</v>
      </c>
      <c r="X346">
        <f t="shared" si="60"/>
        <v>0.68284424075652927</v>
      </c>
      <c r="Y346">
        <f t="shared" si="61"/>
        <v>1.7342277559742623</v>
      </c>
      <c r="AC346" s="3">
        <f t="shared" si="63"/>
        <v>700.6707076290993</v>
      </c>
      <c r="AD346" t="e">
        <f t="shared" si="64"/>
        <v>#NUM!</v>
      </c>
      <c r="AE346">
        <f t="shared" si="65"/>
        <v>1.2609341877634561</v>
      </c>
      <c r="AF346">
        <f t="shared" si="66"/>
        <v>4.3139009816413589E-2</v>
      </c>
      <c r="AG346">
        <f t="shared" si="67"/>
        <v>4.3139009816413589E-2</v>
      </c>
    </row>
    <row r="347" spans="1:33" x14ac:dyDescent="0.25">
      <c r="A347">
        <v>366.81299999999999</v>
      </c>
      <c r="B347">
        <v>8.5790000000000006</v>
      </c>
      <c r="C347">
        <v>79.257999999999996</v>
      </c>
      <c r="D347">
        <v>514.45500000000004</v>
      </c>
      <c r="E347">
        <v>349.21899999999999</v>
      </c>
      <c r="F347">
        <v>2.5579999999999998</v>
      </c>
      <c r="G347">
        <v>80.177000000000007</v>
      </c>
      <c r="H347">
        <v>78.664000000000001</v>
      </c>
      <c r="I347">
        <v>5.2759999999999998</v>
      </c>
      <c r="J347">
        <v>7.8730000000000002</v>
      </c>
      <c r="K347">
        <v>54094.815999999999</v>
      </c>
      <c r="L347">
        <v>21.192</v>
      </c>
      <c r="N347">
        <v>283.13764499999996</v>
      </c>
      <c r="O347">
        <v>354.17003999999991</v>
      </c>
      <c r="P347">
        <v>904.17053999999996</v>
      </c>
      <c r="Q347">
        <v>714.47961199999986</v>
      </c>
      <c r="R347">
        <f t="shared" si="59"/>
        <v>1.7318542684191671</v>
      </c>
      <c r="S347">
        <v>1.674670883283077</v>
      </c>
      <c r="T347">
        <v>71.032394999999951</v>
      </c>
      <c r="U347">
        <v>189.6909280000001</v>
      </c>
      <c r="V347">
        <v>550.0005000000001</v>
      </c>
      <c r="W347">
        <v>0.21574259114309918</v>
      </c>
      <c r="Y347">
        <f t="shared" si="61"/>
        <v>1.7359019074705619</v>
      </c>
      <c r="AC347" s="3">
        <f t="shared" si="63"/>
        <v>700.98446035262941</v>
      </c>
      <c r="AD347" t="e">
        <f t="shared" si="64"/>
        <v>#NUM!</v>
      </c>
      <c r="AE347">
        <f t="shared" si="65"/>
        <v>1.2609341877634561</v>
      </c>
      <c r="AF347">
        <f t="shared" si="66"/>
        <v>4.3139009816413589E-2</v>
      </c>
      <c r="AG347">
        <f t="shared" si="67"/>
        <v>4.3139009816413589E-2</v>
      </c>
    </row>
    <row r="348" spans="1:33" x14ac:dyDescent="0.25">
      <c r="A348">
        <v>367.81299999999999</v>
      </c>
      <c r="B348">
        <v>8.4429999999999996</v>
      </c>
      <c r="C348">
        <v>79.277000000000001</v>
      </c>
      <c r="D348">
        <v>514.48400000000004</v>
      </c>
      <c r="E348">
        <v>348.947</v>
      </c>
      <c r="F348">
        <v>2.532</v>
      </c>
      <c r="G348">
        <v>79.869</v>
      </c>
      <c r="H348">
        <v>78.391000000000005</v>
      </c>
      <c r="I348">
        <v>5.3890000000000002</v>
      </c>
      <c r="J348">
        <v>8.1769999999999996</v>
      </c>
      <c r="K348">
        <v>54095.858999999997</v>
      </c>
      <c r="L348">
        <v>22.228000000000002</v>
      </c>
      <c r="N348">
        <v>283.00096499999995</v>
      </c>
      <c r="O348">
        <v>354.18913499999991</v>
      </c>
      <c r="P348">
        <v>904.20383199999992</v>
      </c>
      <c r="Q348">
        <v>714.16735599999993</v>
      </c>
      <c r="R348">
        <f t="shared" si="59"/>
        <v>1.7293741511996379</v>
      </c>
      <c r="S348">
        <v>1.6704258465042385</v>
      </c>
      <c r="T348">
        <v>71.188169999999957</v>
      </c>
      <c r="U348">
        <v>190.03647599999999</v>
      </c>
      <c r="V348">
        <v>550.01469700000007</v>
      </c>
      <c r="W348">
        <v>0.21608205498552346</v>
      </c>
      <c r="Y348">
        <f t="shared" si="61"/>
        <v>1.7470603611953772</v>
      </c>
      <c r="AC348" s="3">
        <f t="shared" si="63"/>
        <v>701.40992134428052</v>
      </c>
      <c r="AE348">
        <f t="shared" si="65"/>
        <v>1.2609341877634561</v>
      </c>
      <c r="AF348">
        <f t="shared" si="66"/>
        <v>4.3139009816413589E-2</v>
      </c>
      <c r="AG348">
        <f t="shared" si="67"/>
        <v>4.3139009816413589E-2</v>
      </c>
    </row>
    <row r="349" spans="1:33" x14ac:dyDescent="0.25">
      <c r="A349">
        <v>368.81400000000002</v>
      </c>
      <c r="B349">
        <v>8.3330000000000002</v>
      </c>
      <c r="C349">
        <v>79.28</v>
      </c>
      <c r="D349">
        <v>513.70799999999997</v>
      </c>
      <c r="E349">
        <v>348.66399999999999</v>
      </c>
      <c r="F349">
        <v>2.5449999999999999</v>
      </c>
      <c r="G349">
        <v>80.456999999999994</v>
      </c>
      <c r="H349">
        <v>78.941000000000003</v>
      </c>
      <c r="I349">
        <v>5.3630000000000004</v>
      </c>
      <c r="J349">
        <v>8.3279999999999994</v>
      </c>
      <c r="K349">
        <v>54072.478000000003</v>
      </c>
      <c r="L349">
        <v>20.978000000000002</v>
      </c>
      <c r="N349">
        <v>282.89041499999996</v>
      </c>
      <c r="O349">
        <v>354.19214999999991</v>
      </c>
      <c r="P349">
        <v>903.31298399999991</v>
      </c>
      <c r="Q349">
        <v>713.84247199999993</v>
      </c>
      <c r="R349">
        <f t="shared" si="59"/>
        <v>1.7347069640247064</v>
      </c>
      <c r="S349">
        <v>1.6758770197404076</v>
      </c>
      <c r="T349">
        <v>71.301734999999951</v>
      </c>
      <c r="U349">
        <v>189.47051199999999</v>
      </c>
      <c r="V349">
        <v>549.12083400000006</v>
      </c>
      <c r="W349">
        <v>0.2151963095976796</v>
      </c>
      <c r="Y349">
        <f t="shared" si="61"/>
        <v>1.7332634336346813</v>
      </c>
      <c r="AC349" s="3">
        <f t="shared" si="63"/>
        <v>700.20640562288384</v>
      </c>
      <c r="AE349">
        <f t="shared" si="65"/>
        <v>1.2609341877634561</v>
      </c>
      <c r="AF349">
        <f t="shared" si="66"/>
        <v>4.3139009816413589E-2</v>
      </c>
      <c r="AG349">
        <f t="shared" si="67"/>
        <v>4.3139009816413589E-2</v>
      </c>
    </row>
    <row r="350" spans="1:33" x14ac:dyDescent="0.25">
      <c r="A350">
        <v>369.81400000000002</v>
      </c>
      <c r="B350">
        <v>8.202</v>
      </c>
      <c r="C350">
        <v>79.393000000000001</v>
      </c>
      <c r="D350">
        <v>514.59799999999996</v>
      </c>
      <c r="E350">
        <v>349.41300000000001</v>
      </c>
      <c r="F350">
        <v>2.5289999999999999</v>
      </c>
      <c r="G350">
        <v>80.510999999999996</v>
      </c>
      <c r="H350">
        <v>79.05</v>
      </c>
      <c r="I350">
        <v>5.36</v>
      </c>
      <c r="J350">
        <v>7.609</v>
      </c>
      <c r="K350">
        <v>54093.375999999997</v>
      </c>
      <c r="L350">
        <v>22.234000000000002</v>
      </c>
      <c r="N350">
        <v>282.75875999999994</v>
      </c>
      <c r="O350">
        <v>354.30571499999996</v>
      </c>
      <c r="P350">
        <v>904.33470399999987</v>
      </c>
      <c r="Q350">
        <v>714.70232399999998</v>
      </c>
      <c r="R350">
        <f t="shared" si="59"/>
        <v>1.7354780295956767</v>
      </c>
      <c r="S350">
        <v>1.6769244901708618</v>
      </c>
      <c r="T350">
        <v>71.546955000000025</v>
      </c>
      <c r="U350">
        <v>189.6323799999999</v>
      </c>
      <c r="V350">
        <v>550.02898899999991</v>
      </c>
      <c r="W350">
        <v>0.2146894570315091</v>
      </c>
      <c r="Y350">
        <f t="shared" si="61"/>
        <v>1.7308220901338476</v>
      </c>
      <c r="AC350" s="3">
        <f t="shared" si="63"/>
        <v>700.90005019807916</v>
      </c>
      <c r="AE350">
        <f t="shared" si="65"/>
        <v>1.2609341877634561</v>
      </c>
      <c r="AF350">
        <f t="shared" si="66"/>
        <v>4.3139009816413589E-2</v>
      </c>
      <c r="AG350">
        <f t="shared" si="67"/>
        <v>4.3139009816413589E-2</v>
      </c>
    </row>
    <row r="351" spans="1:33" x14ac:dyDescent="0.25">
      <c r="A351">
        <v>370.81400000000002</v>
      </c>
      <c r="B351">
        <v>8.1430000000000007</v>
      </c>
      <c r="C351">
        <v>79.332999999999998</v>
      </c>
      <c r="D351">
        <v>515.00099999999998</v>
      </c>
      <c r="E351">
        <v>348.25299999999999</v>
      </c>
      <c r="F351">
        <v>2.5329999999999999</v>
      </c>
      <c r="G351">
        <v>80.643000000000001</v>
      </c>
      <c r="H351">
        <v>79.135000000000005</v>
      </c>
      <c r="I351">
        <v>5.3659999999999997</v>
      </c>
      <c r="J351">
        <v>7.609</v>
      </c>
      <c r="K351">
        <v>54123.178999999996</v>
      </c>
      <c r="L351">
        <v>21.437999999999999</v>
      </c>
      <c r="N351">
        <v>282.69946499999998</v>
      </c>
      <c r="O351">
        <v>354.24541499999992</v>
      </c>
      <c r="P351">
        <v>904.79734799999983</v>
      </c>
      <c r="Q351">
        <v>713.37064399999997</v>
      </c>
      <c r="R351">
        <f t="shared" si="59"/>
        <v>1.7366574556977545</v>
      </c>
      <c r="S351">
        <v>1.6776128451490824</v>
      </c>
      <c r="T351">
        <v>71.545949999999948</v>
      </c>
      <c r="U351">
        <v>191.42670399999986</v>
      </c>
      <c r="V351">
        <v>550.55193299999996</v>
      </c>
      <c r="W351">
        <v>0.21774649549727385</v>
      </c>
      <c r="Y351">
        <f t="shared" si="61"/>
        <v>1.7450082266260216</v>
      </c>
      <c r="AC351" s="3">
        <f t="shared" si="63"/>
        <v>701.19400020786088</v>
      </c>
      <c r="AE351">
        <f t="shared" si="65"/>
        <v>1.2609341877634561</v>
      </c>
      <c r="AF351">
        <f t="shared" si="66"/>
        <v>4.3139009816413589E-2</v>
      </c>
      <c r="AG351">
        <f t="shared" si="67"/>
        <v>4.3139009816413589E-2</v>
      </c>
    </row>
    <row r="352" spans="1:33" x14ac:dyDescent="0.25">
      <c r="A352">
        <v>371.81400000000002</v>
      </c>
      <c r="B352">
        <v>8.02</v>
      </c>
      <c r="C352">
        <v>79.337000000000003</v>
      </c>
      <c r="D352">
        <v>513.33000000000004</v>
      </c>
      <c r="E352">
        <v>348.79399999999998</v>
      </c>
      <c r="F352">
        <v>2.5230000000000001</v>
      </c>
      <c r="G352">
        <v>80.174000000000007</v>
      </c>
      <c r="H352">
        <v>78.760000000000005</v>
      </c>
      <c r="I352">
        <v>5.3559999999999999</v>
      </c>
      <c r="J352">
        <v>7.9109999999999996</v>
      </c>
      <c r="K352">
        <v>54142.580999999998</v>
      </c>
      <c r="L352">
        <v>21.625</v>
      </c>
      <c r="N352">
        <v>282.57584999999995</v>
      </c>
      <c r="O352">
        <v>354.24943499999995</v>
      </c>
      <c r="P352">
        <v>902.87903999999992</v>
      </c>
      <c r="Q352">
        <v>713.99171199999989</v>
      </c>
      <c r="R352">
        <f t="shared" si="59"/>
        <v>1.7323976872942664</v>
      </c>
      <c r="S352">
        <v>1.6743220401264056</v>
      </c>
      <c r="T352">
        <v>71.673585000000003</v>
      </c>
      <c r="U352">
        <v>188.88732800000002</v>
      </c>
      <c r="V352">
        <v>548.62960499999997</v>
      </c>
      <c r="W352">
        <v>0.21364822811557904</v>
      </c>
      <c r="Y352">
        <f t="shared" si="61"/>
        <v>1.7316761317018063</v>
      </c>
      <c r="AC352" s="3">
        <f t="shared" si="63"/>
        <v>700.01593362007316</v>
      </c>
      <c r="AE352">
        <f t="shared" si="65"/>
        <v>1.2609341877634561</v>
      </c>
      <c r="AF352">
        <f t="shared" si="66"/>
        <v>4.3139009816413589E-2</v>
      </c>
      <c r="AG352">
        <f t="shared" si="67"/>
        <v>4.3139009816413589E-2</v>
      </c>
    </row>
    <row r="353" spans="1:33" x14ac:dyDescent="0.25">
      <c r="A353">
        <v>372.81400000000002</v>
      </c>
      <c r="B353">
        <v>7.9080000000000004</v>
      </c>
      <c r="C353">
        <v>79.197999999999993</v>
      </c>
      <c r="D353">
        <v>513.28399999999999</v>
      </c>
      <c r="E353">
        <v>349.005</v>
      </c>
      <c r="F353">
        <v>2.552</v>
      </c>
      <c r="G353">
        <v>80.295000000000002</v>
      </c>
      <c r="H353">
        <v>78.84</v>
      </c>
      <c r="I353">
        <v>5.3719999999999999</v>
      </c>
      <c r="J353">
        <v>8.1379999999999999</v>
      </c>
      <c r="K353">
        <v>54145.775000000001</v>
      </c>
      <c r="L353">
        <v>21.251999999999999</v>
      </c>
      <c r="N353">
        <v>282.46328999999997</v>
      </c>
      <c r="O353">
        <v>354.10973999999993</v>
      </c>
      <c r="P353">
        <v>902.82623199999989</v>
      </c>
      <c r="Q353">
        <v>714.23393999999996</v>
      </c>
      <c r="R353">
        <f t="shared" si="59"/>
        <v>1.7330649115528232</v>
      </c>
      <c r="S353">
        <v>1.674810786979205</v>
      </c>
      <c r="T353">
        <v>71.646449999999959</v>
      </c>
      <c r="U353">
        <v>188.59229199999993</v>
      </c>
      <c r="V353">
        <v>548.71649200000002</v>
      </c>
      <c r="W353">
        <v>0.21312616570671611</v>
      </c>
      <c r="Y353">
        <f t="shared" si="61"/>
        <v>1.7281555049061779</v>
      </c>
      <c r="AC353" s="3">
        <f t="shared" si="63"/>
        <v>699.9291168598013</v>
      </c>
      <c r="AE353">
        <f t="shared" si="65"/>
        <v>1.2609341877634561</v>
      </c>
      <c r="AF353">
        <f t="shared" si="66"/>
        <v>4.3139009816413589E-2</v>
      </c>
      <c r="AG353">
        <f t="shared" si="67"/>
        <v>4.3139009816413589E-2</v>
      </c>
    </row>
    <row r="354" spans="1:33" x14ac:dyDescent="0.25">
      <c r="A354">
        <v>373.81400000000002</v>
      </c>
      <c r="B354">
        <v>7.8140000000000001</v>
      </c>
      <c r="C354">
        <v>79.215999999999994</v>
      </c>
      <c r="D354">
        <v>513.82500000000005</v>
      </c>
      <c r="E354">
        <v>348.45600000000002</v>
      </c>
      <c r="F354">
        <v>2.536</v>
      </c>
      <c r="G354">
        <v>80.353999999999999</v>
      </c>
      <c r="H354">
        <v>79.010000000000005</v>
      </c>
      <c r="I354">
        <v>5.5149999999999997</v>
      </c>
      <c r="J354">
        <v>8.516</v>
      </c>
      <c r="K354">
        <v>54151.283000000003</v>
      </c>
      <c r="L354">
        <v>21.707000000000001</v>
      </c>
      <c r="N354">
        <v>282.36881999999997</v>
      </c>
      <c r="O354">
        <v>354.12782999999996</v>
      </c>
      <c r="P354">
        <v>903.44729999999993</v>
      </c>
      <c r="Q354">
        <v>713.60368799999992</v>
      </c>
      <c r="R354">
        <f t="shared" si="59"/>
        <v>1.7338828322456523</v>
      </c>
      <c r="S354">
        <v>1.6741732789065724</v>
      </c>
      <c r="T354">
        <v>71.759009999999989</v>
      </c>
      <c r="U354">
        <v>189.84361200000001</v>
      </c>
      <c r="V354">
        <v>549.31946999999991</v>
      </c>
      <c r="W354">
        <v>0.2149652587409655</v>
      </c>
      <c r="Y354">
        <f t="shared" si="61"/>
        <v>1.7396294133397163</v>
      </c>
      <c r="AE354">
        <f t="shared" si="65"/>
        <v>1.2609341877634561</v>
      </c>
      <c r="AF354">
        <f t="shared" si="66"/>
        <v>4.3139009816413589E-2</v>
      </c>
      <c r="AG354">
        <f t="shared" si="67"/>
        <v>4.3139009816413589E-2</v>
      </c>
    </row>
    <row r="355" spans="1:33" x14ac:dyDescent="0.25">
      <c r="A355">
        <v>374.81400000000002</v>
      </c>
      <c r="B355">
        <v>7.84</v>
      </c>
      <c r="C355">
        <v>79.194999999999993</v>
      </c>
      <c r="D355">
        <v>515.09199999999998</v>
      </c>
      <c r="E355">
        <v>348.74799999999999</v>
      </c>
      <c r="F355">
        <v>2.5150000000000001</v>
      </c>
      <c r="G355">
        <v>80.397000000000006</v>
      </c>
      <c r="H355">
        <v>78.902000000000001</v>
      </c>
      <c r="I355">
        <v>5.3620000000000001</v>
      </c>
      <c r="J355">
        <v>7.835</v>
      </c>
      <c r="K355">
        <v>54133.303999999996</v>
      </c>
      <c r="L355">
        <v>21.696000000000002</v>
      </c>
      <c r="N355">
        <v>282.39494999999994</v>
      </c>
      <c r="O355">
        <v>354.10672499999993</v>
      </c>
      <c r="P355">
        <v>904.90181599999994</v>
      </c>
      <c r="Q355">
        <v>713.93890399999987</v>
      </c>
      <c r="R355">
        <f t="shared" si="59"/>
        <v>1.7346318917134367</v>
      </c>
      <c r="S355">
        <v>1.6755341625176829</v>
      </c>
      <c r="T355">
        <v>71.711774999999989</v>
      </c>
      <c r="U355">
        <v>190.96291200000007</v>
      </c>
      <c r="V355">
        <v>550.79509099999996</v>
      </c>
      <c r="W355">
        <v>0.21650726186301486</v>
      </c>
      <c r="Y355">
        <f t="shared" si="61"/>
        <v>1.744496232364551</v>
      </c>
      <c r="AE355">
        <f t="shared" si="65"/>
        <v>1.2609341877634561</v>
      </c>
      <c r="AF355">
        <f t="shared" si="66"/>
        <v>4.3139009816413589E-2</v>
      </c>
      <c r="AG355">
        <f t="shared" si="67"/>
        <v>4.3139009816413589E-2</v>
      </c>
    </row>
    <row r="356" spans="1:33" x14ac:dyDescent="0.25">
      <c r="A356">
        <v>375.81400000000002</v>
      </c>
      <c r="B356">
        <v>7.94</v>
      </c>
      <c r="C356">
        <v>79.09</v>
      </c>
      <c r="D356">
        <v>515.97500000000002</v>
      </c>
      <c r="E356">
        <v>348.74599999999998</v>
      </c>
      <c r="F356">
        <v>2.5219999999999998</v>
      </c>
      <c r="G356">
        <v>80.097999999999999</v>
      </c>
      <c r="H356">
        <v>78.63</v>
      </c>
      <c r="I356">
        <v>5.423</v>
      </c>
      <c r="J356">
        <v>7.8390000000000004</v>
      </c>
      <c r="K356">
        <v>54116.175000000003</v>
      </c>
      <c r="L356">
        <v>21.245999999999999</v>
      </c>
      <c r="N356">
        <v>282.49544999999995</v>
      </c>
      <c r="O356">
        <v>354.00119999999998</v>
      </c>
      <c r="P356">
        <v>905.91549999999995</v>
      </c>
      <c r="Q356">
        <v>713.93660799999986</v>
      </c>
      <c r="R356">
        <f t="shared" si="59"/>
        <v>1.7316971949218087</v>
      </c>
      <c r="S356">
        <v>1.672098638487739</v>
      </c>
      <c r="T356">
        <v>71.505750000000035</v>
      </c>
      <c r="U356">
        <v>191.97889200000009</v>
      </c>
      <c r="V356">
        <v>551.91429999999991</v>
      </c>
      <c r="W356">
        <v>0.21828233477552597</v>
      </c>
      <c r="Y356">
        <f t="shared" si="61"/>
        <v>1.7583681667973452</v>
      </c>
      <c r="AE356">
        <f t="shared" si="65"/>
        <v>1.2609341877634561</v>
      </c>
      <c r="AF356">
        <f t="shared" si="66"/>
        <v>4.3139009816413589E-2</v>
      </c>
      <c r="AG356">
        <f t="shared" si="67"/>
        <v>4.3139009816413589E-2</v>
      </c>
    </row>
    <row r="357" spans="1:33" x14ac:dyDescent="0.25">
      <c r="A357">
        <v>376.81400000000002</v>
      </c>
      <c r="B357">
        <v>7.8230000000000004</v>
      </c>
      <c r="C357">
        <v>79.100999999999999</v>
      </c>
      <c r="D357">
        <v>513.56700000000001</v>
      </c>
      <c r="E357">
        <v>348.97199999999998</v>
      </c>
      <c r="F357">
        <v>2.5019999999999998</v>
      </c>
      <c r="G357">
        <v>79.587000000000003</v>
      </c>
      <c r="H357">
        <v>78.221999999999994</v>
      </c>
      <c r="I357">
        <v>5.274</v>
      </c>
      <c r="J357">
        <v>7.9109999999999996</v>
      </c>
      <c r="K357">
        <v>54090.553999999996</v>
      </c>
      <c r="L357">
        <v>21.635999999999999</v>
      </c>
      <c r="N357">
        <v>282.37786499999993</v>
      </c>
      <c r="O357">
        <v>354.01225499999993</v>
      </c>
      <c r="P357">
        <v>903.15111599999989</v>
      </c>
      <c r="Q357">
        <v>714.19605599999988</v>
      </c>
      <c r="R357">
        <f t="shared" si="59"/>
        <v>1.7272032603158431</v>
      </c>
      <c r="S357">
        <v>1.6706382039825691</v>
      </c>
      <c r="T357">
        <v>71.634389999999996</v>
      </c>
      <c r="U357">
        <v>188.95506</v>
      </c>
      <c r="V357">
        <v>549.13886099999991</v>
      </c>
      <c r="W357">
        <v>0.21364481433048685</v>
      </c>
      <c r="Y357">
        <f t="shared" si="61"/>
        <v>1.73873961879495</v>
      </c>
      <c r="AE357">
        <f t="shared" si="65"/>
        <v>1.2609341877634561</v>
      </c>
      <c r="AF357">
        <f t="shared" si="66"/>
        <v>4.3139009816413589E-2</v>
      </c>
      <c r="AG357">
        <f t="shared" si="67"/>
        <v>4.3139009816413589E-2</v>
      </c>
    </row>
    <row r="358" spans="1:33" x14ac:dyDescent="0.25">
      <c r="A358">
        <v>377.81400000000002</v>
      </c>
      <c r="B358">
        <v>7.7649999999999997</v>
      </c>
      <c r="C358">
        <v>79.007000000000005</v>
      </c>
      <c r="D358">
        <v>512.15099999999995</v>
      </c>
      <c r="E358">
        <v>348.19600000000003</v>
      </c>
      <c r="F358">
        <v>2.5190000000000001</v>
      </c>
      <c r="G358">
        <v>79.754000000000005</v>
      </c>
      <c r="H358">
        <v>78.233999999999995</v>
      </c>
      <c r="I358">
        <v>5.3129999999999997</v>
      </c>
      <c r="J358">
        <v>7.4950000000000001</v>
      </c>
      <c r="K358">
        <v>54062.224000000002</v>
      </c>
      <c r="L358">
        <v>21.905000000000001</v>
      </c>
      <c r="N358">
        <v>282.31957499999993</v>
      </c>
      <c r="O358">
        <v>353.91778499999992</v>
      </c>
      <c r="P358">
        <v>901.52554799999984</v>
      </c>
      <c r="Q358">
        <v>713.30520799999999</v>
      </c>
      <c r="R358">
        <f t="shared" si="59"/>
        <v>1.7285014950150446</v>
      </c>
      <c r="S358">
        <v>1.6701497063769952</v>
      </c>
      <c r="T358">
        <v>71.598209999999995</v>
      </c>
      <c r="U358">
        <v>188.22033999999985</v>
      </c>
      <c r="V358">
        <v>547.60776299999998</v>
      </c>
      <c r="W358">
        <v>0.21296653897143503</v>
      </c>
      <c r="Y358">
        <f t="shared" si="61"/>
        <v>1.7360290367449203</v>
      </c>
      <c r="AE358">
        <f t="shared" si="65"/>
        <v>1.2609341877634561</v>
      </c>
      <c r="AF358">
        <f t="shared" si="66"/>
        <v>4.3139009816413589E-2</v>
      </c>
      <c r="AG358">
        <f t="shared" si="67"/>
        <v>4.3139009816413589E-2</v>
      </c>
    </row>
    <row r="359" spans="1:33" x14ac:dyDescent="0.25">
      <c r="A359">
        <v>378.81400000000002</v>
      </c>
      <c r="B359">
        <v>7.8390000000000004</v>
      </c>
      <c r="C359">
        <v>78.971999999999994</v>
      </c>
      <c r="D359">
        <v>511.279</v>
      </c>
      <c r="E359">
        <v>348.13799999999998</v>
      </c>
      <c r="F359">
        <v>2.516</v>
      </c>
      <c r="G359">
        <v>79.441999999999993</v>
      </c>
      <c r="H359">
        <v>77.914000000000001</v>
      </c>
      <c r="I359">
        <v>5.4619999999999997</v>
      </c>
      <c r="J359">
        <v>7.798</v>
      </c>
      <c r="K359">
        <v>54040.84</v>
      </c>
      <c r="L359">
        <v>21.504000000000001</v>
      </c>
      <c r="N359">
        <v>282.39394499999997</v>
      </c>
      <c r="O359">
        <v>353.88260999999994</v>
      </c>
      <c r="P359">
        <v>900.5244919999999</v>
      </c>
      <c r="Q359">
        <v>713.23862399999996</v>
      </c>
      <c r="R359">
        <f t="shared" si="59"/>
        <v>1.7256074554784184</v>
      </c>
      <c r="S359">
        <v>1.6649290578366769</v>
      </c>
      <c r="T359">
        <v>71.488664999999969</v>
      </c>
      <c r="U359">
        <v>187.28586799999994</v>
      </c>
      <c r="V359">
        <v>546.6418819999999</v>
      </c>
      <c r="W359">
        <v>0.21183375590676015</v>
      </c>
      <c r="Y359">
        <f t="shared" si="61"/>
        <v>1.7392849139113662</v>
      </c>
      <c r="AE359">
        <f t="shared" si="65"/>
        <v>1.2609341877634561</v>
      </c>
      <c r="AF359">
        <f t="shared" si="66"/>
        <v>4.3139009816413589E-2</v>
      </c>
      <c r="AG359">
        <f t="shared" si="67"/>
        <v>4.3139009816413589E-2</v>
      </c>
    </row>
    <row r="360" spans="1:33" x14ac:dyDescent="0.25">
      <c r="A360">
        <v>379.81400000000002</v>
      </c>
      <c r="B360">
        <v>7.9109999999999996</v>
      </c>
      <c r="C360">
        <v>78.992000000000004</v>
      </c>
      <c r="D360">
        <v>512.36099999999999</v>
      </c>
      <c r="E360">
        <v>347.65</v>
      </c>
      <c r="F360">
        <v>2.5430000000000001</v>
      </c>
      <c r="G360">
        <v>79.847999999999999</v>
      </c>
      <c r="H360">
        <v>78.382000000000005</v>
      </c>
      <c r="I360">
        <v>5.4009999999999998</v>
      </c>
      <c r="J360">
        <v>7.4189999999999996</v>
      </c>
      <c r="K360">
        <v>54021.697</v>
      </c>
      <c r="L360">
        <v>21.093</v>
      </c>
      <c r="N360">
        <v>282.46630499999992</v>
      </c>
      <c r="O360">
        <v>353.90270999999996</v>
      </c>
      <c r="P360">
        <v>901.76662799999986</v>
      </c>
      <c r="Q360">
        <v>712.6783999999999</v>
      </c>
      <c r="R360">
        <f t="shared" si="59"/>
        <v>1.7289967277425196</v>
      </c>
      <c r="S360">
        <v>1.6701591353614753</v>
      </c>
      <c r="T360">
        <v>71.436405000000036</v>
      </c>
      <c r="U360">
        <v>189.08822799999996</v>
      </c>
      <c r="V360">
        <v>547.8639179999999</v>
      </c>
      <c r="W360">
        <v>0.21474643453340167</v>
      </c>
      <c r="Y360">
        <f t="shared" si="61"/>
        <v>1.7435496625204212</v>
      </c>
      <c r="AE360">
        <f t="shared" si="65"/>
        <v>1.2609341877634561</v>
      </c>
      <c r="AF360">
        <f t="shared" si="66"/>
        <v>4.3139009816413589E-2</v>
      </c>
      <c r="AG360">
        <f t="shared" si="67"/>
        <v>4.3139009816413589E-2</v>
      </c>
    </row>
    <row r="361" spans="1:33" x14ac:dyDescent="0.25">
      <c r="A361">
        <v>380.81400000000002</v>
      </c>
      <c r="B361">
        <v>8.2010000000000005</v>
      </c>
      <c r="C361">
        <v>79.075000000000003</v>
      </c>
      <c r="D361">
        <v>513.02099999999996</v>
      </c>
      <c r="E361">
        <v>347.81799999999998</v>
      </c>
      <c r="F361">
        <v>2.5449999999999999</v>
      </c>
      <c r="G361">
        <v>79.760999999999996</v>
      </c>
      <c r="H361">
        <v>78.305000000000007</v>
      </c>
      <c r="I361">
        <v>5.4779999999999998</v>
      </c>
      <c r="J361">
        <v>7.5709999999999997</v>
      </c>
      <c r="K361">
        <v>54007.714</v>
      </c>
      <c r="L361">
        <v>21.542999999999999</v>
      </c>
      <c r="N361">
        <v>282.75775499999997</v>
      </c>
      <c r="O361">
        <v>353.9861249999999</v>
      </c>
      <c r="P361">
        <v>902.52430799999991</v>
      </c>
      <c r="Q361">
        <v>712.87126399999988</v>
      </c>
      <c r="R361">
        <f t="shared" si="59"/>
        <v>1.7281437125748502</v>
      </c>
      <c r="S361">
        <v>1.6682724953660373</v>
      </c>
      <c r="T361">
        <v>71.228369999999927</v>
      </c>
      <c r="U361">
        <v>189.65304400000002</v>
      </c>
      <c r="V361">
        <v>548.538183</v>
      </c>
      <c r="W361">
        <v>0.21589139584108058</v>
      </c>
      <c r="Y361">
        <f t="shared" si="61"/>
        <v>1.7509064857120102</v>
      </c>
      <c r="AE361">
        <f t="shared" si="65"/>
        <v>1.2609341877634561</v>
      </c>
      <c r="AF361">
        <f t="shared" si="66"/>
        <v>4.3139009816413589E-2</v>
      </c>
      <c r="AG361">
        <f t="shared" si="67"/>
        <v>4.3139009816413589E-2</v>
      </c>
    </row>
    <row r="362" spans="1:33" x14ac:dyDescent="0.25">
      <c r="A362">
        <v>381.815</v>
      </c>
      <c r="B362">
        <v>8.5389999999999997</v>
      </c>
      <c r="C362">
        <v>79.102000000000004</v>
      </c>
      <c r="D362">
        <v>512.48299999999995</v>
      </c>
      <c r="E362">
        <v>348.05900000000003</v>
      </c>
      <c r="F362">
        <v>2.5529999999999999</v>
      </c>
      <c r="G362">
        <v>80.307000000000002</v>
      </c>
      <c r="H362">
        <v>78.923000000000002</v>
      </c>
      <c r="I362">
        <v>5.343</v>
      </c>
      <c r="J362">
        <v>7.76</v>
      </c>
      <c r="K362">
        <v>54016.457000000002</v>
      </c>
      <c r="L362">
        <v>21.152999999999999</v>
      </c>
      <c r="N362">
        <v>283.09744499999994</v>
      </c>
      <c r="O362">
        <v>354.01325999999989</v>
      </c>
      <c r="P362">
        <v>901.90668399999981</v>
      </c>
      <c r="Q362">
        <v>713.14793199999997</v>
      </c>
      <c r="R362">
        <f t="shared" si="59"/>
        <v>1.7331617210262795</v>
      </c>
      <c r="S362">
        <v>1.676019587846715</v>
      </c>
      <c r="T362">
        <v>70.915814999999952</v>
      </c>
      <c r="U362">
        <v>188.75875199999984</v>
      </c>
      <c r="V362">
        <v>547.89342399999987</v>
      </c>
      <c r="W362">
        <v>0.2150836856913981</v>
      </c>
      <c r="Y362">
        <f t="shared" si="61"/>
        <v>1.7291778405409992</v>
      </c>
      <c r="AE362">
        <f t="shared" si="65"/>
        <v>1.2609341877634561</v>
      </c>
      <c r="AF362">
        <f t="shared" si="66"/>
        <v>4.3139009816413589E-2</v>
      </c>
      <c r="AG362">
        <f t="shared" si="67"/>
        <v>4.3139009816413589E-2</v>
      </c>
    </row>
    <row r="363" spans="1:33" x14ac:dyDescent="0.25">
      <c r="A363">
        <v>382.815</v>
      </c>
      <c r="B363">
        <v>8.859</v>
      </c>
      <c r="C363">
        <v>79.040000000000006</v>
      </c>
      <c r="D363">
        <v>513.94200000000001</v>
      </c>
      <c r="E363">
        <v>348.291</v>
      </c>
      <c r="F363">
        <v>2.532</v>
      </c>
      <c r="G363">
        <v>80.424999999999997</v>
      </c>
      <c r="H363">
        <v>78.914000000000001</v>
      </c>
      <c r="I363">
        <v>5.2919999999999998</v>
      </c>
      <c r="J363">
        <v>7.891</v>
      </c>
      <c r="K363">
        <v>54033.536999999997</v>
      </c>
      <c r="L363">
        <v>21.658000000000001</v>
      </c>
      <c r="N363">
        <v>283.41904499999993</v>
      </c>
      <c r="O363">
        <v>353.95094999999998</v>
      </c>
      <c r="P363">
        <v>903.58161599999994</v>
      </c>
      <c r="Q363">
        <v>713.41426799999999</v>
      </c>
      <c r="R363">
        <f t="shared" si="59"/>
        <v>1.7346178512147279</v>
      </c>
      <c r="S363">
        <v>1.6767225531289065</v>
      </c>
      <c r="T363">
        <v>70.531905000000052</v>
      </c>
      <c r="U363">
        <v>190.16734799999995</v>
      </c>
      <c r="V363">
        <v>549.63066600000002</v>
      </c>
      <c r="W363">
        <v>0.21766515298474975</v>
      </c>
      <c r="Y363">
        <f t="shared" si="61"/>
        <v>1.7375306926107763</v>
      </c>
      <c r="AE363">
        <f t="shared" si="65"/>
        <v>1.2609341877634561</v>
      </c>
      <c r="AF363">
        <f t="shared" si="66"/>
        <v>4.3139009816413589E-2</v>
      </c>
      <c r="AG363">
        <f t="shared" si="67"/>
        <v>4.3139009816413589E-2</v>
      </c>
    </row>
    <row r="364" spans="1:33" x14ac:dyDescent="0.25">
      <c r="A364">
        <v>383.815</v>
      </c>
      <c r="B364">
        <v>9.1280000000000001</v>
      </c>
      <c r="C364">
        <v>79.006</v>
      </c>
      <c r="D364">
        <v>514.54700000000003</v>
      </c>
      <c r="E364">
        <v>348.858</v>
      </c>
      <c r="F364">
        <v>2.5649999999999999</v>
      </c>
      <c r="G364">
        <v>80.620999999999995</v>
      </c>
      <c r="H364">
        <v>79.171999999999997</v>
      </c>
      <c r="I364">
        <v>5.2910000000000004</v>
      </c>
      <c r="J364">
        <v>8.4410000000000007</v>
      </c>
      <c r="K364">
        <v>54061.099000000002</v>
      </c>
      <c r="L364">
        <v>20.879000000000001</v>
      </c>
      <c r="N364">
        <v>283.68938999999995</v>
      </c>
      <c r="O364">
        <v>353.9167799999999</v>
      </c>
      <c r="P364">
        <v>904.2761559999999</v>
      </c>
      <c r="Q364">
        <v>714.06518399999993</v>
      </c>
      <c r="R364">
        <f t="shared" si="59"/>
        <v>1.7359260830622729</v>
      </c>
      <c r="S364">
        <v>1.679109485159618</v>
      </c>
      <c r="T364">
        <v>70.227389999999957</v>
      </c>
      <c r="U364">
        <v>190.21097199999997</v>
      </c>
      <c r="V364">
        <v>550.359376</v>
      </c>
      <c r="W364">
        <v>0.218009517475723</v>
      </c>
      <c r="Y364">
        <f t="shared" si="61"/>
        <v>1.7321288628395199</v>
      </c>
      <c r="AE364">
        <f t="shared" si="65"/>
        <v>1.2609341877634561</v>
      </c>
      <c r="AF364">
        <f t="shared" si="66"/>
        <v>4.3139009816413589E-2</v>
      </c>
      <c r="AG364">
        <f t="shared" si="67"/>
        <v>4.3139009816413589E-2</v>
      </c>
    </row>
    <row r="365" spans="1:33" x14ac:dyDescent="0.25">
      <c r="A365">
        <v>384.815</v>
      </c>
      <c r="B365">
        <v>9.3010000000000002</v>
      </c>
      <c r="C365">
        <v>79.105000000000004</v>
      </c>
      <c r="D365">
        <v>514.92399999999998</v>
      </c>
      <c r="E365">
        <v>348.83</v>
      </c>
      <c r="F365">
        <v>2.54</v>
      </c>
      <c r="G365">
        <v>80.236000000000004</v>
      </c>
      <c r="H365">
        <v>78.626999999999995</v>
      </c>
      <c r="I365">
        <v>5.3129999999999997</v>
      </c>
      <c r="J365">
        <v>8.2910000000000004</v>
      </c>
      <c r="K365">
        <v>54108.046999999999</v>
      </c>
      <c r="L365">
        <v>21.51</v>
      </c>
      <c r="N365">
        <v>283.86325499999992</v>
      </c>
      <c r="O365">
        <v>354.01627499999995</v>
      </c>
      <c r="P365">
        <v>904.70895199999984</v>
      </c>
      <c r="Q365">
        <v>714.03303999999991</v>
      </c>
      <c r="R365">
        <f t="shared" si="59"/>
        <v>1.7327046397585815</v>
      </c>
      <c r="S365">
        <v>1.6737614071848033</v>
      </c>
      <c r="T365">
        <v>70.153020000000026</v>
      </c>
      <c r="U365">
        <v>190.67591199999993</v>
      </c>
      <c r="V365">
        <v>550.69267699999989</v>
      </c>
      <c r="W365">
        <v>0.21885689974410161</v>
      </c>
      <c r="Y365">
        <f t="shared" si="61"/>
        <v>1.7456005513668196</v>
      </c>
      <c r="AE365">
        <f t="shared" si="65"/>
        <v>1.2609341877634561</v>
      </c>
      <c r="AF365">
        <f t="shared" si="66"/>
        <v>4.3139009816413589E-2</v>
      </c>
      <c r="AG365">
        <f t="shared" si="67"/>
        <v>4.3139009816413589E-2</v>
      </c>
    </row>
    <row r="366" spans="1:33" x14ac:dyDescent="0.25">
      <c r="A366">
        <v>385.815</v>
      </c>
      <c r="B366">
        <v>9.2289999999999992</v>
      </c>
      <c r="C366">
        <v>79.05</v>
      </c>
      <c r="D366">
        <v>514.85699999999997</v>
      </c>
      <c r="E366">
        <v>349.27100000000002</v>
      </c>
      <c r="F366">
        <v>2.5169999999999999</v>
      </c>
      <c r="G366">
        <v>80.146000000000001</v>
      </c>
      <c r="H366">
        <v>78.647999999999996</v>
      </c>
      <c r="I366">
        <v>5.87</v>
      </c>
      <c r="J366">
        <v>7.4580000000000002</v>
      </c>
      <c r="K366">
        <v>54127.561999999998</v>
      </c>
      <c r="L366">
        <v>20.521999999999998</v>
      </c>
      <c r="N366">
        <v>283.79089499999992</v>
      </c>
      <c r="O366">
        <v>353.96099999999996</v>
      </c>
      <c r="P366">
        <v>904.63203599999986</v>
      </c>
      <c r="Q366">
        <v>714.53930800000001</v>
      </c>
      <c r="R366">
        <f t="shared" si="59"/>
        <v>1.7322316232302368</v>
      </c>
      <c r="S366">
        <v>1.6654292767669379</v>
      </c>
      <c r="T366">
        <v>70.170105000000035</v>
      </c>
      <c r="U366">
        <v>190.09272799999985</v>
      </c>
      <c r="V366">
        <v>550.67103599999996</v>
      </c>
      <c r="W366">
        <v>0.21777543244529721</v>
      </c>
      <c r="Y366">
        <f t="shared" si="61"/>
        <v>1.7563655052388432</v>
      </c>
      <c r="AE366">
        <f t="shared" si="65"/>
        <v>1.2609341877634561</v>
      </c>
      <c r="AF366">
        <f t="shared" si="66"/>
        <v>4.3139009816413589E-2</v>
      </c>
      <c r="AG366">
        <f t="shared" si="67"/>
        <v>4.3139009816413589E-2</v>
      </c>
    </row>
    <row r="367" spans="1:33" x14ac:dyDescent="0.25">
      <c r="A367">
        <v>386.81599999999997</v>
      </c>
      <c r="B367">
        <v>9.3970000000000002</v>
      </c>
      <c r="C367">
        <v>79.069000000000003</v>
      </c>
      <c r="D367">
        <v>516.75599999999997</v>
      </c>
      <c r="E367">
        <v>349.23399999999998</v>
      </c>
      <c r="F367">
        <v>2.5379999999999998</v>
      </c>
      <c r="G367">
        <v>80.727000000000004</v>
      </c>
      <c r="H367">
        <v>79.228999999999999</v>
      </c>
      <c r="I367">
        <v>5.23</v>
      </c>
      <c r="J367">
        <v>8.2530000000000001</v>
      </c>
      <c r="K367">
        <v>54157.72</v>
      </c>
      <c r="L367">
        <v>21.29</v>
      </c>
      <c r="N367">
        <v>283.95973499999997</v>
      </c>
      <c r="O367">
        <v>353.98009499999995</v>
      </c>
      <c r="P367">
        <v>906.8120879999999</v>
      </c>
      <c r="Q367">
        <v>714.49683199999993</v>
      </c>
      <c r="R367">
        <f t="shared" si="59"/>
        <v>1.7373677360946076</v>
      </c>
      <c r="S367">
        <v>1.6805757380667707</v>
      </c>
      <c r="T367">
        <v>70.020359999999982</v>
      </c>
      <c r="U367">
        <v>192.31525599999998</v>
      </c>
      <c r="V367">
        <v>552.83199300000001</v>
      </c>
      <c r="W367">
        <v>0.22121530148129467</v>
      </c>
      <c r="Y367">
        <f t="shared" si="61"/>
        <v>1.7436433569241321</v>
      </c>
      <c r="AE367">
        <f t="shared" si="65"/>
        <v>1.2609341877634561</v>
      </c>
      <c r="AF367">
        <f t="shared" si="66"/>
        <v>4.3139009816413589E-2</v>
      </c>
      <c r="AG367">
        <f t="shared" si="67"/>
        <v>4.3139009816413589E-2</v>
      </c>
    </row>
    <row r="368" spans="1:33" x14ac:dyDescent="0.25">
      <c r="A368">
        <v>387.81599999999997</v>
      </c>
      <c r="B368">
        <v>9.4469999999999992</v>
      </c>
      <c r="C368">
        <v>79.149000000000001</v>
      </c>
      <c r="D368">
        <v>516.04700000000003</v>
      </c>
      <c r="E368">
        <v>349.39299999999997</v>
      </c>
      <c r="F368">
        <v>2.5680000000000001</v>
      </c>
      <c r="G368">
        <v>80.117000000000004</v>
      </c>
      <c r="H368">
        <v>78.781999999999996</v>
      </c>
      <c r="I368">
        <v>5.5270000000000001</v>
      </c>
      <c r="J368">
        <v>8.0630000000000006</v>
      </c>
      <c r="K368">
        <v>54157.769</v>
      </c>
      <c r="L368">
        <v>21.658000000000001</v>
      </c>
      <c r="N368">
        <v>284.00998499999997</v>
      </c>
      <c r="O368">
        <v>354.06049499999995</v>
      </c>
      <c r="P368">
        <v>905.99815599999988</v>
      </c>
      <c r="Q368">
        <v>714.67936399999985</v>
      </c>
      <c r="R368">
        <f t="shared" si="59"/>
        <v>1.7311253158351247</v>
      </c>
      <c r="S368">
        <v>1.671897786786759</v>
      </c>
      <c r="T368">
        <v>70.050509999999974</v>
      </c>
      <c r="U368">
        <v>191.31879200000003</v>
      </c>
      <c r="V368">
        <v>551.93766099999993</v>
      </c>
      <c r="W368">
        <v>0.21971372959092217</v>
      </c>
      <c r="Y368">
        <f t="shared" si="61"/>
        <v>1.7525461236857531</v>
      </c>
      <c r="AE368">
        <f t="shared" si="65"/>
        <v>1.2609341877634561</v>
      </c>
      <c r="AF368">
        <f t="shared" si="66"/>
        <v>4.3139009816413589E-2</v>
      </c>
      <c r="AG368">
        <f t="shared" si="67"/>
        <v>4.3139009816413589E-2</v>
      </c>
    </row>
    <row r="369" spans="1:33" x14ac:dyDescent="0.25">
      <c r="A369">
        <v>388.81700000000001</v>
      </c>
      <c r="B369">
        <v>9.4019999999999992</v>
      </c>
      <c r="C369">
        <v>79.149000000000001</v>
      </c>
      <c r="D369">
        <v>513.42499999999995</v>
      </c>
      <c r="E369">
        <v>349.38499999999999</v>
      </c>
      <c r="F369">
        <v>2.5259999999999998</v>
      </c>
      <c r="G369">
        <v>79.683000000000007</v>
      </c>
      <c r="H369">
        <v>78.326999999999998</v>
      </c>
      <c r="I369">
        <v>5.2960000000000003</v>
      </c>
      <c r="J369">
        <v>7.194</v>
      </c>
      <c r="K369">
        <v>54131.42</v>
      </c>
      <c r="L369">
        <v>21.684999999999999</v>
      </c>
      <c r="N369">
        <v>283.96475999999996</v>
      </c>
      <c r="O369">
        <v>354.06049499999995</v>
      </c>
      <c r="P369">
        <v>902.9880999999998</v>
      </c>
      <c r="Q369">
        <v>714.67017999999996</v>
      </c>
      <c r="R369">
        <f t="shared" si="59"/>
        <v>1.7277177296134911</v>
      </c>
      <c r="S369">
        <v>1.6712654877017536</v>
      </c>
      <c r="T369">
        <v>70.095734999999991</v>
      </c>
      <c r="U369">
        <v>188.31791999999984</v>
      </c>
      <c r="V369">
        <v>548.92760499999986</v>
      </c>
      <c r="W369">
        <v>0.21536935640174243</v>
      </c>
      <c r="Y369">
        <f t="shared" si="61"/>
        <v>1.7320021679138324</v>
      </c>
      <c r="AE369">
        <f t="shared" si="65"/>
        <v>1.2609341877634561</v>
      </c>
      <c r="AF369">
        <f t="shared" si="66"/>
        <v>4.3139009816413589E-2</v>
      </c>
      <c r="AG369">
        <f t="shared" si="67"/>
        <v>4.3139009816413589E-2</v>
      </c>
    </row>
    <row r="370" spans="1:33" x14ac:dyDescent="0.25">
      <c r="A370">
        <v>389.81799999999998</v>
      </c>
      <c r="B370">
        <v>9.4429999999999996</v>
      </c>
      <c r="C370">
        <v>78.974999999999994</v>
      </c>
      <c r="D370">
        <v>515.23299999999995</v>
      </c>
      <c r="E370">
        <v>349.87599999999998</v>
      </c>
      <c r="F370">
        <v>2.5110000000000001</v>
      </c>
      <c r="G370">
        <v>79.893000000000001</v>
      </c>
      <c r="H370">
        <v>78.369</v>
      </c>
      <c r="I370">
        <v>5.3659999999999997</v>
      </c>
      <c r="J370">
        <v>8.11</v>
      </c>
      <c r="K370">
        <v>54093.457000000002</v>
      </c>
      <c r="L370">
        <v>21.109000000000002</v>
      </c>
      <c r="N370">
        <v>284.00596499999995</v>
      </c>
      <c r="O370">
        <v>353.88562499999995</v>
      </c>
      <c r="P370">
        <v>905.06368399999985</v>
      </c>
      <c r="Q370">
        <v>715.23384799999985</v>
      </c>
      <c r="R370">
        <f t="shared" si="59"/>
        <v>1.729943119110281</v>
      </c>
      <c r="S370">
        <v>1.6705766722392665</v>
      </c>
      <c r="T370">
        <v>69.879660000000001</v>
      </c>
      <c r="U370">
        <v>189.829836</v>
      </c>
      <c r="V370">
        <v>551.17805899999985</v>
      </c>
      <c r="W370">
        <v>0.21762509236602257</v>
      </c>
      <c r="Y370">
        <f t="shared" si="61"/>
        <v>1.7432151617889895</v>
      </c>
      <c r="AE370">
        <f t="shared" si="65"/>
        <v>1.2609341877634561</v>
      </c>
      <c r="AF370">
        <f t="shared" si="66"/>
        <v>4.3139009816413589E-2</v>
      </c>
      <c r="AG370">
        <f t="shared" si="67"/>
        <v>4.3139009816413589E-2</v>
      </c>
    </row>
    <row r="371" spans="1:33" x14ac:dyDescent="0.25">
      <c r="A371">
        <v>390.81799999999998</v>
      </c>
      <c r="B371">
        <v>9.4909999999999997</v>
      </c>
      <c r="C371">
        <v>78.962000000000003</v>
      </c>
      <c r="D371">
        <v>516.45299999999997</v>
      </c>
      <c r="E371">
        <v>349.18</v>
      </c>
      <c r="F371">
        <v>2.5249999999999999</v>
      </c>
      <c r="G371">
        <v>80.418000000000006</v>
      </c>
      <c r="H371">
        <v>78.953999999999994</v>
      </c>
      <c r="I371">
        <v>5.2720000000000002</v>
      </c>
      <c r="J371">
        <v>7.6470000000000002</v>
      </c>
      <c r="K371">
        <v>54066.777000000002</v>
      </c>
      <c r="L371">
        <v>21.625</v>
      </c>
      <c r="N371">
        <v>284.05420499999991</v>
      </c>
      <c r="O371">
        <v>353.87255999999991</v>
      </c>
      <c r="P371">
        <v>906.46424399999989</v>
      </c>
      <c r="Q371">
        <v>714.43483999999989</v>
      </c>
      <c r="R371">
        <f t="shared" si="59"/>
        <v>1.7346663522754067</v>
      </c>
      <c r="S371">
        <v>1.6773985952267128</v>
      </c>
      <c r="T371">
        <v>69.818354999999997</v>
      </c>
      <c r="U371">
        <v>192.029404</v>
      </c>
      <c r="V371">
        <v>552.59168399999999</v>
      </c>
      <c r="W371">
        <v>0.22115976866564646</v>
      </c>
      <c r="Y371">
        <f t="shared" si="61"/>
        <v>1.7476874881788123</v>
      </c>
      <c r="AE371">
        <f t="shared" si="65"/>
        <v>1.2609341877634561</v>
      </c>
      <c r="AF371">
        <f t="shared" si="66"/>
        <v>4.3139009816413589E-2</v>
      </c>
      <c r="AG371">
        <f t="shared" si="67"/>
        <v>4.3139009816413589E-2</v>
      </c>
    </row>
    <row r="372" spans="1:33" x14ac:dyDescent="0.25">
      <c r="A372">
        <v>391.81799999999998</v>
      </c>
      <c r="B372">
        <v>9.3970000000000002</v>
      </c>
      <c r="C372">
        <v>79.024000000000001</v>
      </c>
      <c r="D372">
        <v>518.19899999999996</v>
      </c>
      <c r="E372">
        <v>349.55599999999998</v>
      </c>
      <c r="F372">
        <v>2.5529999999999999</v>
      </c>
      <c r="G372">
        <v>80.165000000000006</v>
      </c>
      <c r="H372">
        <v>78.774000000000001</v>
      </c>
      <c r="I372">
        <v>5.5250000000000004</v>
      </c>
      <c r="J372">
        <v>7.9109999999999996</v>
      </c>
      <c r="K372">
        <v>54083.485000000001</v>
      </c>
      <c r="L372">
        <v>21.526</v>
      </c>
      <c r="N372">
        <v>283.95973499999997</v>
      </c>
      <c r="O372">
        <v>353.93486999999993</v>
      </c>
      <c r="P372">
        <v>908.46865199999991</v>
      </c>
      <c r="Q372">
        <v>714.86648799999978</v>
      </c>
      <c r="R372">
        <f t="shared" si="59"/>
        <v>1.7318227678613525</v>
      </c>
      <c r="S372">
        <v>1.6718550791102957</v>
      </c>
      <c r="T372">
        <v>69.975134999999966</v>
      </c>
      <c r="U372">
        <v>193.60216400000013</v>
      </c>
      <c r="V372">
        <v>554.53378199999997</v>
      </c>
      <c r="W372">
        <v>0.22293867932468028</v>
      </c>
      <c r="Y372">
        <f t="shared" si="61"/>
        <v>1.7687222185789715</v>
      </c>
      <c r="AE372">
        <f t="shared" si="65"/>
        <v>1.2609341877634561</v>
      </c>
      <c r="AF372">
        <f t="shared" si="66"/>
        <v>4.3139009816413589E-2</v>
      </c>
      <c r="AG372">
        <f t="shared" si="67"/>
        <v>4.3139009816413589E-2</v>
      </c>
    </row>
    <row r="373" spans="1:33" x14ac:dyDescent="0.25">
      <c r="A373">
        <v>392.81900000000002</v>
      </c>
      <c r="B373">
        <v>9.4369999999999994</v>
      </c>
      <c r="C373">
        <v>79.117999999999995</v>
      </c>
      <c r="D373">
        <v>518.33799999999997</v>
      </c>
      <c r="E373">
        <v>349.69299999999998</v>
      </c>
      <c r="F373">
        <v>2.54</v>
      </c>
      <c r="G373">
        <v>80.528999999999996</v>
      </c>
      <c r="H373">
        <v>79.05</v>
      </c>
      <c r="I373">
        <v>5.3789999999999996</v>
      </c>
      <c r="J373">
        <v>7.6459999999999999</v>
      </c>
      <c r="K373">
        <v>54089.68</v>
      </c>
      <c r="L373">
        <v>20.911999999999999</v>
      </c>
      <c r="N373">
        <v>283.99993499999994</v>
      </c>
      <c r="O373">
        <v>354.02933999999993</v>
      </c>
      <c r="P373">
        <v>908.62822399999982</v>
      </c>
      <c r="Q373">
        <v>715.02376399999991</v>
      </c>
      <c r="R373">
        <f t="shared" si="59"/>
        <v>1.735467748019615</v>
      </c>
      <c r="S373">
        <v>1.6766318573829664</v>
      </c>
      <c r="T373">
        <v>70.029404999999997</v>
      </c>
      <c r="U373">
        <v>193.6044599999999</v>
      </c>
      <c r="V373">
        <v>554.59888399999988</v>
      </c>
      <c r="W373">
        <v>0.22281879492566728</v>
      </c>
      <c r="Y373">
        <f t="shared" si="61"/>
        <v>1.7592827345182622</v>
      </c>
      <c r="AE373">
        <f t="shared" si="65"/>
        <v>1.2609341877634561</v>
      </c>
      <c r="AF373">
        <f t="shared" si="66"/>
        <v>4.3139009816413589E-2</v>
      </c>
      <c r="AG373">
        <f t="shared" si="67"/>
        <v>4.3139009816413589E-2</v>
      </c>
    </row>
    <row r="374" spans="1:33" x14ac:dyDescent="0.25">
      <c r="A374">
        <v>393.81900000000002</v>
      </c>
      <c r="B374">
        <v>9.6259999999999994</v>
      </c>
      <c r="C374">
        <v>79.311999999999998</v>
      </c>
      <c r="D374">
        <v>519.45100000000002</v>
      </c>
      <c r="E374">
        <v>349.50799999999998</v>
      </c>
      <c r="F374">
        <v>2.5409999999999999</v>
      </c>
      <c r="G374">
        <v>80.305999999999997</v>
      </c>
      <c r="H374">
        <v>78.968999999999994</v>
      </c>
      <c r="I374">
        <v>5.3490000000000002</v>
      </c>
      <c r="J374">
        <v>7.6840000000000002</v>
      </c>
      <c r="K374">
        <v>54124.489000000001</v>
      </c>
      <c r="L374">
        <v>22.184000000000001</v>
      </c>
      <c r="N374">
        <v>284.1898799999999</v>
      </c>
      <c r="O374">
        <v>354.22430999999995</v>
      </c>
      <c r="P374">
        <v>909.90594799999997</v>
      </c>
      <c r="Q374">
        <v>714.81138399999986</v>
      </c>
      <c r="R374">
        <f t="shared" si="59"/>
        <v>1.7333484218368367</v>
      </c>
      <c r="S374">
        <v>1.6763498056941266</v>
      </c>
      <c r="T374">
        <v>70.034430000000043</v>
      </c>
      <c r="U374">
        <v>195.0945640000001</v>
      </c>
      <c r="V374">
        <v>555.68163800000002</v>
      </c>
      <c r="W374">
        <v>0.2250571648365319</v>
      </c>
      <c r="Y374">
        <f t="shared" si="61"/>
        <v>1.7708739412575485</v>
      </c>
      <c r="AE374">
        <f t="shared" si="65"/>
        <v>1.2609341877634561</v>
      </c>
      <c r="AF374">
        <f t="shared" si="66"/>
        <v>4.3139009816413589E-2</v>
      </c>
      <c r="AG374">
        <f t="shared" si="67"/>
        <v>4.3139009816413589E-2</v>
      </c>
    </row>
    <row r="375" spans="1:33" x14ac:dyDescent="0.25">
      <c r="A375">
        <v>394.81900000000002</v>
      </c>
      <c r="B375">
        <v>9.58</v>
      </c>
      <c r="C375">
        <v>79.292000000000002</v>
      </c>
      <c r="D375">
        <v>518.851</v>
      </c>
      <c r="E375">
        <v>349.464</v>
      </c>
      <c r="F375">
        <v>2.5470000000000002</v>
      </c>
      <c r="G375">
        <v>80.393000000000001</v>
      </c>
      <c r="H375">
        <v>78.900999999999996</v>
      </c>
      <c r="I375">
        <v>5.5519999999999996</v>
      </c>
      <c r="J375">
        <v>8.1010000000000009</v>
      </c>
      <c r="K375">
        <v>54135.269</v>
      </c>
      <c r="L375">
        <v>21.779</v>
      </c>
      <c r="N375">
        <v>284.14364999999992</v>
      </c>
      <c r="O375">
        <v>354.20420999999999</v>
      </c>
      <c r="P375">
        <v>909.21714799999995</v>
      </c>
      <c r="Q375">
        <v>714.76087199999995</v>
      </c>
      <c r="R375">
        <f t="shared" si="59"/>
        <v>1.7340707422180732</v>
      </c>
      <c r="S375">
        <v>1.6726057293768113</v>
      </c>
      <c r="T375">
        <v>70.060560000000066</v>
      </c>
      <c r="U375">
        <v>194.456276</v>
      </c>
      <c r="V375">
        <v>555.01293799999996</v>
      </c>
      <c r="W375">
        <v>0.22413120034329712</v>
      </c>
      <c r="Y375">
        <f t="shared" si="61"/>
        <v>1.7736110268990788</v>
      </c>
      <c r="AE375">
        <f t="shared" si="65"/>
        <v>1.2609341877634561</v>
      </c>
      <c r="AF375">
        <f t="shared" si="66"/>
        <v>4.3139009816413589E-2</v>
      </c>
      <c r="AG375">
        <f t="shared" si="67"/>
        <v>4.3139009816413589E-2</v>
      </c>
    </row>
    <row r="376" spans="1:33" x14ac:dyDescent="0.25">
      <c r="A376">
        <v>395.81900000000002</v>
      </c>
      <c r="B376">
        <v>9.73</v>
      </c>
      <c r="C376">
        <v>79.141000000000005</v>
      </c>
      <c r="D376">
        <v>519.38699999999994</v>
      </c>
      <c r="E376">
        <v>349.548</v>
      </c>
      <c r="F376">
        <v>2.5649999999999999</v>
      </c>
      <c r="G376">
        <v>80.301000000000002</v>
      </c>
      <c r="H376">
        <v>78.914000000000001</v>
      </c>
      <c r="I376">
        <v>5.3609999999999998</v>
      </c>
      <c r="J376">
        <v>7.9429999999999996</v>
      </c>
      <c r="K376">
        <v>54146.567999999999</v>
      </c>
      <c r="L376">
        <v>21.652000000000001</v>
      </c>
      <c r="N376">
        <v>284.29439999999994</v>
      </c>
      <c r="O376">
        <v>354.05245499999995</v>
      </c>
      <c r="P376">
        <v>909.83247599999982</v>
      </c>
      <c r="Q376">
        <v>714.85730399999989</v>
      </c>
      <c r="R376">
        <f t="shared" si="59"/>
        <v>1.7329090651958703</v>
      </c>
      <c r="S376">
        <v>1.67565978633303</v>
      </c>
      <c r="T376">
        <v>69.758055000000013</v>
      </c>
      <c r="U376">
        <v>194.97517199999993</v>
      </c>
      <c r="V376">
        <v>555.78002099999981</v>
      </c>
      <c r="W376">
        <v>0.22529978097215544</v>
      </c>
      <c r="Y376">
        <f t="shared" si="61"/>
        <v>1.7712556297882904</v>
      </c>
      <c r="AE376">
        <f t="shared" si="65"/>
        <v>1.2609341877634561</v>
      </c>
      <c r="AF376">
        <f t="shared" si="66"/>
        <v>4.3139009816413589E-2</v>
      </c>
      <c r="AG376">
        <f t="shared" si="67"/>
        <v>4.3139009816413589E-2</v>
      </c>
    </row>
    <row r="377" spans="1:33" x14ac:dyDescent="0.25">
      <c r="A377">
        <v>396.81900000000002</v>
      </c>
      <c r="B377">
        <v>9.7889999999999997</v>
      </c>
      <c r="C377">
        <v>79.097999999999999</v>
      </c>
      <c r="D377">
        <v>519.91300000000001</v>
      </c>
      <c r="E377">
        <v>349.71499999999997</v>
      </c>
      <c r="F377">
        <v>2.5419999999999998</v>
      </c>
      <c r="G377">
        <v>80.525000000000006</v>
      </c>
      <c r="H377">
        <v>79.135999999999996</v>
      </c>
      <c r="I377">
        <v>5.2519999999999998</v>
      </c>
      <c r="J377">
        <v>8.1270000000000007</v>
      </c>
      <c r="K377">
        <v>54158.747000000003</v>
      </c>
      <c r="L377">
        <v>21.481999999999999</v>
      </c>
      <c r="N377">
        <v>284.35369499999996</v>
      </c>
      <c r="O377">
        <v>354.00923999999998</v>
      </c>
      <c r="P377">
        <v>910.4363239999999</v>
      </c>
      <c r="Q377">
        <v>715.04901999999993</v>
      </c>
      <c r="R377">
        <f t="shared" si="59"/>
        <v>1.7353972954112522</v>
      </c>
      <c r="S377">
        <v>1.6793806090922465</v>
      </c>
      <c r="T377">
        <v>69.655545000000018</v>
      </c>
      <c r="U377">
        <v>195.38730399999997</v>
      </c>
      <c r="V377">
        <v>556.42708399999992</v>
      </c>
      <c r="W377">
        <v>0.22596268696367047</v>
      </c>
      <c r="Y377">
        <f t="shared" si="61"/>
        <v>1.7667120478276968</v>
      </c>
      <c r="AE377">
        <f t="shared" si="65"/>
        <v>1.2609341877634561</v>
      </c>
      <c r="AF377">
        <f t="shared" si="66"/>
        <v>4.3139009816413589E-2</v>
      </c>
      <c r="AG377">
        <f t="shared" si="67"/>
        <v>4.3139009816413589E-2</v>
      </c>
    </row>
    <row r="378" spans="1:33" x14ac:dyDescent="0.25">
      <c r="A378">
        <v>397.81900000000002</v>
      </c>
      <c r="B378">
        <v>9.7050000000000001</v>
      </c>
      <c r="C378">
        <v>79.12</v>
      </c>
      <c r="D378">
        <v>522.56399999999996</v>
      </c>
      <c r="E378">
        <v>349.40899999999999</v>
      </c>
      <c r="F378">
        <v>2.5510000000000002</v>
      </c>
      <c r="G378">
        <v>80.744</v>
      </c>
      <c r="H378">
        <v>79.313000000000002</v>
      </c>
      <c r="I378">
        <v>5.3019999999999996</v>
      </c>
      <c r="J378">
        <v>8.0250000000000004</v>
      </c>
      <c r="K378">
        <v>54170.919000000002</v>
      </c>
      <c r="L378">
        <v>21.471</v>
      </c>
      <c r="N378">
        <v>284.26927499999994</v>
      </c>
      <c r="O378">
        <v>354.03134999999992</v>
      </c>
      <c r="P378">
        <v>913.47967199999982</v>
      </c>
      <c r="Q378">
        <v>714.69773199999986</v>
      </c>
      <c r="R378">
        <f t="shared" si="59"/>
        <v>1.7373150653930656</v>
      </c>
      <c r="S378">
        <v>1.6802356574327677</v>
      </c>
      <c r="T378">
        <v>69.762074999999982</v>
      </c>
      <c r="U378">
        <v>198.78193999999996</v>
      </c>
      <c r="V378">
        <v>559.44832199999996</v>
      </c>
      <c r="W378">
        <v>0.23061980870504781</v>
      </c>
      <c r="Y378">
        <f t="shared" si="61"/>
        <v>1.7897726100713962</v>
      </c>
      <c r="AE378">
        <f t="shared" si="65"/>
        <v>1.2609341877634561</v>
      </c>
      <c r="AF378">
        <f t="shared" si="66"/>
        <v>4.3139009816413589E-2</v>
      </c>
      <c r="AG378">
        <f t="shared" si="67"/>
        <v>4.3139009816413589E-2</v>
      </c>
    </row>
    <row r="379" spans="1:33" x14ac:dyDescent="0.25">
      <c r="A379">
        <v>398.81900000000002</v>
      </c>
      <c r="B379">
        <v>9.5960000000000001</v>
      </c>
      <c r="C379">
        <v>79.147999999999996</v>
      </c>
      <c r="D379">
        <v>523.04999999999995</v>
      </c>
      <c r="E379">
        <v>349.59800000000001</v>
      </c>
      <c r="F379">
        <v>2.5640000000000001</v>
      </c>
      <c r="G379">
        <v>80.144999999999996</v>
      </c>
      <c r="H379">
        <v>78.691999999999993</v>
      </c>
      <c r="I379">
        <v>5.2510000000000003</v>
      </c>
      <c r="J379">
        <v>7.4569999999999999</v>
      </c>
      <c r="K379">
        <v>54181.512999999999</v>
      </c>
      <c r="L379">
        <v>21.85</v>
      </c>
      <c r="N379">
        <v>284.15972999999997</v>
      </c>
      <c r="O379">
        <v>354.05948999999998</v>
      </c>
      <c r="P379">
        <v>914.03759999999988</v>
      </c>
      <c r="Q379">
        <v>714.91470400000003</v>
      </c>
      <c r="R379">
        <f t="shared" si="59"/>
        <v>1.7314545934530094</v>
      </c>
      <c r="S379">
        <v>1.6753133304521337</v>
      </c>
      <c r="T379">
        <v>69.899760000000015</v>
      </c>
      <c r="U379">
        <v>199.12289599999986</v>
      </c>
      <c r="V379">
        <v>559.9781099999999</v>
      </c>
      <c r="W379">
        <v>0.23076462042418028</v>
      </c>
      <c r="Y379">
        <f t="shared" si="61"/>
        <v>1.80128955565793</v>
      </c>
      <c r="AE379">
        <f t="shared" si="65"/>
        <v>1.2609341877634561</v>
      </c>
      <c r="AF379">
        <f t="shared" si="66"/>
        <v>4.3139009816413589E-2</v>
      </c>
      <c r="AG379">
        <f t="shared" si="67"/>
        <v>4.3139009816413589E-2</v>
      </c>
    </row>
    <row r="380" spans="1:33" x14ac:dyDescent="0.25">
      <c r="A380">
        <v>399.81900000000002</v>
      </c>
      <c r="B380">
        <v>9.42</v>
      </c>
      <c r="C380">
        <v>79.186999999999998</v>
      </c>
      <c r="D380">
        <v>523.51599999999996</v>
      </c>
      <c r="E380">
        <v>349.16199999999998</v>
      </c>
      <c r="F380">
        <v>2.552</v>
      </c>
      <c r="G380">
        <v>79.971000000000004</v>
      </c>
      <c r="H380">
        <v>78.480999999999995</v>
      </c>
      <c r="I380">
        <v>5.4349999999999996</v>
      </c>
      <c r="J380">
        <v>7.0030000000000001</v>
      </c>
      <c r="K380">
        <v>54162.078999999998</v>
      </c>
      <c r="L380">
        <v>21.608000000000001</v>
      </c>
      <c r="N380">
        <v>283.98284999999998</v>
      </c>
      <c r="O380">
        <v>354.09868499999993</v>
      </c>
      <c r="P380">
        <v>914.57256799999982</v>
      </c>
      <c r="Q380">
        <v>714.41417599999977</v>
      </c>
      <c r="R380">
        <f t="shared" si="59"/>
        <v>1.7300098065100138</v>
      </c>
      <c r="S380">
        <v>1.670546656262909</v>
      </c>
      <c r="T380">
        <v>70.115834999999947</v>
      </c>
      <c r="U380">
        <v>200.15839200000005</v>
      </c>
      <c r="V380">
        <v>560.47388299999989</v>
      </c>
      <c r="W380">
        <v>0.23202250978035335</v>
      </c>
      <c r="Y380">
        <f t="shared" si="61"/>
        <v>1.8190119240478626</v>
      </c>
      <c r="AE380">
        <f t="shared" si="65"/>
        <v>1.2609341877634561</v>
      </c>
      <c r="AF380">
        <f t="shared" si="66"/>
        <v>4.3139009816413589E-2</v>
      </c>
      <c r="AG380">
        <f t="shared" si="67"/>
        <v>4.3139009816413589E-2</v>
      </c>
    </row>
    <row r="381" spans="1:33" x14ac:dyDescent="0.25">
      <c r="A381">
        <v>400.81900000000002</v>
      </c>
      <c r="B381">
        <v>9.2509999999999994</v>
      </c>
      <c r="C381">
        <v>79.144999999999996</v>
      </c>
      <c r="D381">
        <v>520.423</v>
      </c>
      <c r="E381">
        <v>348.94600000000003</v>
      </c>
      <c r="F381">
        <v>2.5270000000000001</v>
      </c>
      <c r="G381">
        <v>79.909000000000006</v>
      </c>
      <c r="H381">
        <v>78.319000000000003</v>
      </c>
      <c r="I381">
        <v>5.3780000000000001</v>
      </c>
      <c r="J381">
        <v>7.3440000000000003</v>
      </c>
      <c r="K381">
        <v>54113.417000000001</v>
      </c>
      <c r="L381">
        <v>21.591999999999999</v>
      </c>
      <c r="N381">
        <v>283.81300499999992</v>
      </c>
      <c r="O381">
        <v>354.05647499999992</v>
      </c>
      <c r="P381">
        <v>911.02180399999986</v>
      </c>
      <c r="Q381">
        <v>714.16620799999998</v>
      </c>
      <c r="R381">
        <f t="shared" si="59"/>
        <v>1.7298329670744244</v>
      </c>
      <c r="S381">
        <v>1.6699333198625987</v>
      </c>
      <c r="T381">
        <v>70.243470000000002</v>
      </c>
      <c r="U381">
        <v>196.85559599999988</v>
      </c>
      <c r="V381">
        <v>556.96532899999988</v>
      </c>
      <c r="W381">
        <v>0.22732496873247904</v>
      </c>
      <c r="Y381">
        <f t="shared" si="61"/>
        <v>1.7971747492402848</v>
      </c>
      <c r="AE381">
        <f t="shared" si="65"/>
        <v>1.2609341877634561</v>
      </c>
      <c r="AF381">
        <f t="shared" si="66"/>
        <v>4.3139009816413589E-2</v>
      </c>
      <c r="AG381">
        <f t="shared" si="67"/>
        <v>4.3139009816413589E-2</v>
      </c>
    </row>
    <row r="382" spans="1:33" x14ac:dyDescent="0.25">
      <c r="A382">
        <v>401.82</v>
      </c>
      <c r="B382">
        <v>9.1709999999999994</v>
      </c>
      <c r="C382">
        <v>79.055000000000007</v>
      </c>
      <c r="D382">
        <v>518.26099999999997</v>
      </c>
      <c r="E382">
        <v>349.06299999999999</v>
      </c>
      <c r="F382">
        <v>2.5350000000000001</v>
      </c>
      <c r="G382">
        <v>79.593000000000004</v>
      </c>
      <c r="H382">
        <v>78.093000000000004</v>
      </c>
      <c r="I382">
        <v>5.4530000000000003</v>
      </c>
      <c r="J382">
        <v>7.2679999999999998</v>
      </c>
      <c r="K382">
        <v>54075.826999999997</v>
      </c>
      <c r="L382">
        <v>21.779</v>
      </c>
      <c r="N382">
        <v>283.73260499999992</v>
      </c>
      <c r="O382">
        <v>353.96602499999995</v>
      </c>
      <c r="P382">
        <v>908.53982799999983</v>
      </c>
      <c r="Q382">
        <v>714.30052399999988</v>
      </c>
      <c r="R382">
        <f t="shared" si="59"/>
        <v>1.7267223086716652</v>
      </c>
      <c r="S382">
        <v>1.6667094985911357</v>
      </c>
      <c r="T382">
        <v>70.233420000000024</v>
      </c>
      <c r="U382">
        <v>194.23930399999995</v>
      </c>
      <c r="V382">
        <v>554.57380299999988</v>
      </c>
      <c r="W382">
        <v>0.22360573710691478</v>
      </c>
      <c r="Y382">
        <f t="shared" si="61"/>
        <v>1.78443837357973</v>
      </c>
      <c r="AE382">
        <f t="shared" si="65"/>
        <v>1.2609341877634561</v>
      </c>
      <c r="AF382">
        <f t="shared" si="66"/>
        <v>4.3139009816413589E-2</v>
      </c>
      <c r="AG382">
        <f t="shared" si="67"/>
        <v>4.3139009816413589E-2</v>
      </c>
    </row>
    <row r="383" spans="1:33" x14ac:dyDescent="0.25">
      <c r="A383">
        <v>402.82</v>
      </c>
      <c r="B383">
        <v>9.0280000000000005</v>
      </c>
      <c r="C383">
        <v>78.989000000000004</v>
      </c>
      <c r="D383">
        <v>516.08100000000002</v>
      </c>
      <c r="E383">
        <v>349.00400000000002</v>
      </c>
      <c r="F383">
        <v>2.5089999999999999</v>
      </c>
      <c r="G383">
        <v>80.036000000000001</v>
      </c>
      <c r="H383">
        <v>78.489000000000004</v>
      </c>
      <c r="I383">
        <v>5.3</v>
      </c>
      <c r="J383">
        <v>7.9809999999999999</v>
      </c>
      <c r="K383">
        <v>54033.771999999997</v>
      </c>
      <c r="L383">
        <v>21.437999999999999</v>
      </c>
      <c r="N383">
        <v>283.58888999999999</v>
      </c>
      <c r="O383">
        <v>353.89969499999995</v>
      </c>
      <c r="P383">
        <v>906.0371879999999</v>
      </c>
      <c r="Q383">
        <v>714.2327919999999</v>
      </c>
      <c r="R383">
        <f t="shared" si="59"/>
        <v>1.7313246988463245</v>
      </c>
      <c r="S383">
        <v>1.6726930147058825</v>
      </c>
      <c r="T383">
        <v>70.310804999999959</v>
      </c>
      <c r="U383">
        <v>191.804396</v>
      </c>
      <c r="V383">
        <v>552.13749299999995</v>
      </c>
      <c r="W383">
        <v>0.22004227667980528</v>
      </c>
      <c r="Y383">
        <f t="shared" si="61"/>
        <v>1.755396711208836</v>
      </c>
      <c r="AE383">
        <f t="shared" si="65"/>
        <v>1.2609341877634561</v>
      </c>
      <c r="AF383">
        <f t="shared" si="66"/>
        <v>4.3139009816413589E-2</v>
      </c>
      <c r="AG383">
        <f t="shared" si="67"/>
        <v>4.3139009816413589E-2</v>
      </c>
    </row>
    <row r="384" spans="1:33" x14ac:dyDescent="0.25">
      <c r="A384">
        <v>403.82</v>
      </c>
      <c r="B384">
        <v>8.8670000000000009</v>
      </c>
      <c r="C384">
        <v>78.956999999999994</v>
      </c>
      <c r="D384">
        <v>515.274</v>
      </c>
      <c r="E384">
        <v>347.82900000000001</v>
      </c>
      <c r="F384">
        <v>2.5009999999999999</v>
      </c>
      <c r="G384">
        <v>80.25</v>
      </c>
      <c r="H384">
        <v>78.852999999999994</v>
      </c>
      <c r="I384">
        <v>5.3609999999999998</v>
      </c>
      <c r="J384">
        <v>7.8789999999999996</v>
      </c>
      <c r="K384">
        <v>54006.387999999999</v>
      </c>
      <c r="L384">
        <v>21.114999999999998</v>
      </c>
      <c r="N384">
        <v>283.42708499999998</v>
      </c>
      <c r="O384">
        <v>353.86753499999992</v>
      </c>
      <c r="P384">
        <v>905.11075199999993</v>
      </c>
      <c r="Q384">
        <v>712.88389199999995</v>
      </c>
      <c r="R384">
        <f t="shared" si="59"/>
        <v>1.7334742125074292</v>
      </c>
      <c r="S384">
        <v>1.6750994387337981</v>
      </c>
      <c r="T384">
        <v>70.440449999999942</v>
      </c>
      <c r="U384">
        <v>192.22685999999999</v>
      </c>
      <c r="V384">
        <v>551.24321699999996</v>
      </c>
      <c r="W384">
        <v>0.22093044638769688</v>
      </c>
      <c r="Y384">
        <f t="shared" si="61"/>
        <v>1.7564647530895288</v>
      </c>
      <c r="AE384">
        <f t="shared" si="65"/>
        <v>1.2609341877634561</v>
      </c>
      <c r="AF384">
        <f t="shared" si="66"/>
        <v>4.3139009816413589E-2</v>
      </c>
      <c r="AG384">
        <f t="shared" si="67"/>
        <v>4.3139009816413589E-2</v>
      </c>
    </row>
    <row r="385" spans="1:33" x14ac:dyDescent="0.25">
      <c r="A385">
        <v>404.82</v>
      </c>
      <c r="B385">
        <v>8.6850000000000005</v>
      </c>
      <c r="C385">
        <v>79.061999999999998</v>
      </c>
      <c r="D385">
        <v>515.50099999999998</v>
      </c>
      <c r="E385">
        <v>347.99299999999999</v>
      </c>
      <c r="F385">
        <v>2.4980000000000002</v>
      </c>
      <c r="G385">
        <v>80.137</v>
      </c>
      <c r="H385">
        <v>78.69</v>
      </c>
      <c r="I385">
        <v>5.2690000000000001</v>
      </c>
      <c r="J385">
        <v>7.7220000000000004</v>
      </c>
      <c r="K385">
        <v>54020.483999999997</v>
      </c>
      <c r="L385">
        <v>21.274000000000001</v>
      </c>
      <c r="N385">
        <v>283.24417499999993</v>
      </c>
      <c r="O385">
        <v>353.97305999999998</v>
      </c>
      <c r="P385">
        <v>905.3713479999999</v>
      </c>
      <c r="Q385">
        <v>713.07216399999993</v>
      </c>
      <c r="R385">
        <f t="shared" si="59"/>
        <v>1.73245721617389</v>
      </c>
      <c r="S385">
        <v>1.6750176980573508</v>
      </c>
      <c r="T385">
        <v>70.728885000000048</v>
      </c>
      <c r="U385">
        <v>192.29918399999997</v>
      </c>
      <c r="V385">
        <v>551.39828799999987</v>
      </c>
      <c r="W385">
        <v>0.22047638094951783</v>
      </c>
      <c r="Y385">
        <f t="shared" si="61"/>
        <v>1.7567755554984856</v>
      </c>
      <c r="AE385">
        <f t="shared" si="65"/>
        <v>1.2609341877634561</v>
      </c>
      <c r="AF385">
        <f t="shared" si="66"/>
        <v>4.3139009816413589E-2</v>
      </c>
      <c r="AG385">
        <f t="shared" si="67"/>
        <v>4.3139009816413589E-2</v>
      </c>
    </row>
    <row r="386" spans="1:33" x14ac:dyDescent="0.25">
      <c r="A386">
        <v>405.82</v>
      </c>
      <c r="B386">
        <v>8.6720000000000006</v>
      </c>
      <c r="C386">
        <v>79.156999999999996</v>
      </c>
      <c r="D386">
        <v>514.52599999999995</v>
      </c>
      <c r="E386">
        <v>349.09500000000003</v>
      </c>
      <c r="F386">
        <v>2.5390000000000001</v>
      </c>
      <c r="G386">
        <v>80.180000000000007</v>
      </c>
      <c r="H386">
        <v>78.756</v>
      </c>
      <c r="I386">
        <v>5.399</v>
      </c>
      <c r="J386">
        <v>8.1769999999999996</v>
      </c>
      <c r="K386">
        <v>54023.548999999999</v>
      </c>
      <c r="L386">
        <v>21.23</v>
      </c>
      <c r="N386">
        <v>283.23111</v>
      </c>
      <c r="O386">
        <v>354.06853499999994</v>
      </c>
      <c r="P386">
        <v>904.25204799999983</v>
      </c>
      <c r="Q386">
        <v>714.3372599999999</v>
      </c>
      <c r="R386">
        <f t="shared" si="59"/>
        <v>1.7321928724337272</v>
      </c>
      <c r="S386">
        <v>1.6736241838768033</v>
      </c>
      <c r="T386">
        <v>70.837424999999939</v>
      </c>
      <c r="U386">
        <v>189.91478799999993</v>
      </c>
      <c r="V386">
        <v>550.18351299999995</v>
      </c>
      <c r="W386">
        <v>0.21643208163527794</v>
      </c>
      <c r="Y386">
        <f t="shared" si="61"/>
        <v>1.7397706146617804</v>
      </c>
      <c r="AE386">
        <f t="shared" si="65"/>
        <v>1.2609341877634561</v>
      </c>
      <c r="AF386">
        <f t="shared" si="66"/>
        <v>4.3139009816413589E-2</v>
      </c>
      <c r="AG386">
        <f t="shared" si="67"/>
        <v>4.3139009816413589E-2</v>
      </c>
    </row>
    <row r="387" spans="1:33" x14ac:dyDescent="0.25">
      <c r="A387">
        <v>406.82</v>
      </c>
      <c r="B387">
        <v>8.6259999999999994</v>
      </c>
      <c r="C387">
        <v>79.12</v>
      </c>
      <c r="D387">
        <v>513.65800000000002</v>
      </c>
      <c r="E387">
        <v>348.39499999999998</v>
      </c>
      <c r="F387">
        <v>2.5249999999999999</v>
      </c>
      <c r="G387">
        <v>80.117000000000004</v>
      </c>
      <c r="H387">
        <v>78.616</v>
      </c>
      <c r="I387">
        <v>5.4370000000000003</v>
      </c>
      <c r="J387">
        <v>8.4789999999999992</v>
      </c>
      <c r="K387">
        <v>54035.527000000002</v>
      </c>
      <c r="L387">
        <v>21.158999999999999</v>
      </c>
      <c r="N387">
        <v>283.18487999999991</v>
      </c>
      <c r="O387">
        <v>354.03134999999992</v>
      </c>
      <c r="P387">
        <v>903.25558399999989</v>
      </c>
      <c r="Q387">
        <v>713.53365999999994</v>
      </c>
      <c r="R387">
        <f t="shared" si="59"/>
        <v>1.7318273991983024</v>
      </c>
      <c r="S387">
        <v>1.6717552346769233</v>
      </c>
      <c r="T387">
        <v>70.846470000000011</v>
      </c>
      <c r="U387">
        <v>189.72192399999994</v>
      </c>
      <c r="V387">
        <v>549.22423400000002</v>
      </c>
      <c r="W387">
        <v>0.21644247766386784</v>
      </c>
      <c r="Y387">
        <f t="shared" si="61"/>
        <v>1.7434662134504733</v>
      </c>
      <c r="AE387">
        <f t="shared" si="65"/>
        <v>1.2609341877634561</v>
      </c>
      <c r="AF387">
        <f t="shared" si="66"/>
        <v>4.3139009816413589E-2</v>
      </c>
      <c r="AG387">
        <f t="shared" si="67"/>
        <v>4.3139009816413589E-2</v>
      </c>
    </row>
    <row r="388" spans="1:33" x14ac:dyDescent="0.25">
      <c r="A388">
        <v>407.82</v>
      </c>
      <c r="B388">
        <v>8.6929999999999996</v>
      </c>
      <c r="C388">
        <v>79.052000000000007</v>
      </c>
      <c r="D388">
        <v>514.01599999999996</v>
      </c>
      <c r="E388">
        <v>348.69600000000003</v>
      </c>
      <c r="F388">
        <v>2.528</v>
      </c>
      <c r="G388">
        <v>80.393000000000001</v>
      </c>
      <c r="H388">
        <v>78.87</v>
      </c>
      <c r="I388">
        <v>5.5540000000000003</v>
      </c>
      <c r="J388">
        <v>8.1769999999999996</v>
      </c>
      <c r="K388">
        <v>54050.197999999997</v>
      </c>
      <c r="L388">
        <v>21.466000000000001</v>
      </c>
      <c r="N388">
        <v>283.25221499999992</v>
      </c>
      <c r="O388">
        <v>353.96300999999994</v>
      </c>
      <c r="P388">
        <v>903.66656799999987</v>
      </c>
      <c r="Q388">
        <v>713.87920799999995</v>
      </c>
      <c r="R388">
        <f t="shared" si="59"/>
        <v>1.7343814841362657</v>
      </c>
      <c r="S388">
        <v>1.6722907917178647</v>
      </c>
      <c r="T388">
        <v>70.710795000000019</v>
      </c>
      <c r="U388">
        <v>189.78735999999992</v>
      </c>
      <c r="V388">
        <v>549.70355799999993</v>
      </c>
      <c r="W388">
        <v>0.21661960026825935</v>
      </c>
      <c r="Y388">
        <f t="shared" si="61"/>
        <v>1.7422566297267568</v>
      </c>
      <c r="AE388">
        <f t="shared" si="65"/>
        <v>1.2609341877634561</v>
      </c>
      <c r="AF388">
        <f t="shared" si="66"/>
        <v>4.3139009816413589E-2</v>
      </c>
      <c r="AG388">
        <f t="shared" si="67"/>
        <v>4.3139009816413589E-2</v>
      </c>
    </row>
    <row r="389" spans="1:33" x14ac:dyDescent="0.25">
      <c r="A389">
        <v>408.82</v>
      </c>
      <c r="B389">
        <v>8.6920000000000002</v>
      </c>
      <c r="C389">
        <v>78.951999999999998</v>
      </c>
      <c r="D389">
        <v>514.85500000000002</v>
      </c>
      <c r="E389">
        <v>348.57100000000003</v>
      </c>
      <c r="F389">
        <v>2.5150000000000001</v>
      </c>
      <c r="G389">
        <v>79.78</v>
      </c>
      <c r="H389">
        <v>78.385000000000005</v>
      </c>
      <c r="I389">
        <v>5.3929999999999998</v>
      </c>
      <c r="J389">
        <v>8.6310000000000002</v>
      </c>
      <c r="K389">
        <v>54043.938000000002</v>
      </c>
      <c r="L389">
        <v>21.202999999999999</v>
      </c>
      <c r="N389">
        <v>283.25120999999996</v>
      </c>
      <c r="O389">
        <v>353.86250999999993</v>
      </c>
      <c r="P389">
        <v>904.62973999999997</v>
      </c>
      <c r="Q389">
        <v>713.73570799999993</v>
      </c>
      <c r="R389">
        <f t="shared" ref="R389:R452" si="68">(G389+103.5)/(F389+103.5)</f>
        <v>1.7288119605716172</v>
      </c>
      <c r="S389">
        <v>1.670309386278273</v>
      </c>
      <c r="T389">
        <v>70.611299999999972</v>
      </c>
      <c r="U389">
        <v>190.89403200000004</v>
      </c>
      <c r="V389">
        <v>550.76723000000004</v>
      </c>
      <c r="W389">
        <v>0.21839122854132054</v>
      </c>
      <c r="Y389">
        <f t="shared" ref="Y389:Y452" si="69">(D389-E389)/((D389+273.15)*(1-(1/S389^(0.333/1.333))))</f>
        <v>1.7543413226022329</v>
      </c>
      <c r="AE389">
        <f t="shared" ref="AE389:AE452" si="70">103500/(287*(12.85+273.15))</f>
        <v>1.2609341877634561</v>
      </c>
      <c r="AF389">
        <f t="shared" ref="AF389:AF405" si="71">(103500/(287*(12.85+273.15))*(PI()*(0.033^2)*10))</f>
        <v>4.3139009816413589E-2</v>
      </c>
      <c r="AG389">
        <f t="shared" ref="AG389:AG452" si="72">(AF389+(M389*770))</f>
        <v>4.3139009816413589E-2</v>
      </c>
    </row>
    <row r="390" spans="1:33" x14ac:dyDescent="0.25">
      <c r="A390">
        <v>409.82</v>
      </c>
      <c r="B390">
        <v>8.7279999999999998</v>
      </c>
      <c r="C390">
        <v>79.018000000000001</v>
      </c>
      <c r="D390">
        <v>514.654</v>
      </c>
      <c r="E390">
        <v>348.18700000000001</v>
      </c>
      <c r="F390">
        <v>2.524</v>
      </c>
      <c r="G390">
        <v>80.400000000000006</v>
      </c>
      <c r="H390">
        <v>78.902000000000001</v>
      </c>
      <c r="I390">
        <v>5.298</v>
      </c>
      <c r="J390">
        <v>7.62</v>
      </c>
      <c r="K390">
        <v>54021.680999999997</v>
      </c>
      <c r="L390">
        <v>21.635999999999999</v>
      </c>
      <c r="N390">
        <v>283.28738999999996</v>
      </c>
      <c r="O390">
        <v>353.92883999999998</v>
      </c>
      <c r="P390">
        <v>904.39899199999991</v>
      </c>
      <c r="Q390">
        <v>713.29487599999993</v>
      </c>
      <c r="R390">
        <f t="shared" si="68"/>
        <v>1.7345129404663095</v>
      </c>
      <c r="S390">
        <v>1.6765197889667087</v>
      </c>
      <c r="T390">
        <v>70.64145000000002</v>
      </c>
      <c r="U390">
        <v>191.10411599999998</v>
      </c>
      <c r="V390">
        <v>550.47015199999987</v>
      </c>
      <c r="W390">
        <v>0.21883596333484759</v>
      </c>
      <c r="Y390">
        <f t="shared" si="69"/>
        <v>1.744894229026825</v>
      </c>
      <c r="AE390">
        <f t="shared" si="70"/>
        <v>1.2609341877634561</v>
      </c>
      <c r="AF390">
        <f t="shared" si="71"/>
        <v>4.3139009816413589E-2</v>
      </c>
      <c r="AG390">
        <f t="shared" si="72"/>
        <v>4.3139009816413589E-2</v>
      </c>
    </row>
    <row r="391" spans="1:33" x14ac:dyDescent="0.25">
      <c r="A391">
        <v>410.82</v>
      </c>
      <c r="B391">
        <v>8.6240000000000006</v>
      </c>
      <c r="C391">
        <v>79.052999999999997</v>
      </c>
      <c r="D391">
        <v>514.44500000000005</v>
      </c>
      <c r="E391">
        <v>348.36799999999999</v>
      </c>
      <c r="F391">
        <v>2.5529999999999999</v>
      </c>
      <c r="G391">
        <v>80.340999999999994</v>
      </c>
      <c r="H391">
        <v>78.885000000000005</v>
      </c>
      <c r="I391">
        <v>5.335</v>
      </c>
      <c r="J391">
        <v>7.7229999999999999</v>
      </c>
      <c r="K391">
        <v>54023.517</v>
      </c>
      <c r="L391">
        <v>20.879000000000001</v>
      </c>
      <c r="N391">
        <v>283.18286999999998</v>
      </c>
      <c r="O391">
        <v>353.96401499999996</v>
      </c>
      <c r="P391">
        <v>904.15905999999995</v>
      </c>
      <c r="Q391">
        <v>713.50266399999998</v>
      </c>
      <c r="R391">
        <f t="shared" si="68"/>
        <v>1.7334823154460506</v>
      </c>
      <c r="S391">
        <v>1.6757936325630542</v>
      </c>
      <c r="T391">
        <v>70.781144999999981</v>
      </c>
      <c r="U391">
        <v>190.65639599999997</v>
      </c>
      <c r="V391">
        <v>550.19504499999994</v>
      </c>
      <c r="W391">
        <v>0.21787773643072342</v>
      </c>
      <c r="Y391">
        <f t="shared" si="69"/>
        <v>1.742637088260095</v>
      </c>
      <c r="AE391">
        <f t="shared" si="70"/>
        <v>1.2609341877634561</v>
      </c>
      <c r="AF391">
        <f t="shared" si="71"/>
        <v>4.3139009816413589E-2</v>
      </c>
      <c r="AG391">
        <f t="shared" si="72"/>
        <v>4.3139009816413589E-2</v>
      </c>
    </row>
    <row r="392" spans="1:33" x14ac:dyDescent="0.25">
      <c r="A392">
        <v>411.82100000000003</v>
      </c>
      <c r="B392">
        <v>8.7379999999999995</v>
      </c>
      <c r="C392">
        <v>79.132999999999996</v>
      </c>
      <c r="D392">
        <v>515.37</v>
      </c>
      <c r="E392">
        <v>348.33100000000002</v>
      </c>
      <c r="F392">
        <v>2.5409999999999999</v>
      </c>
      <c r="G392">
        <v>80.171000000000006</v>
      </c>
      <c r="H392">
        <v>78.72</v>
      </c>
      <c r="I392">
        <v>5.3040000000000003</v>
      </c>
      <c r="J392">
        <v>7.7610000000000001</v>
      </c>
      <c r="K392">
        <v>54045.142999999996</v>
      </c>
      <c r="L392">
        <v>21.981000000000002</v>
      </c>
      <c r="N392">
        <v>283.29743999999994</v>
      </c>
      <c r="O392">
        <v>354.0444149999999</v>
      </c>
      <c r="P392">
        <v>905.22095999999988</v>
      </c>
      <c r="Q392">
        <v>713.4601879999999</v>
      </c>
      <c r="R392">
        <f t="shared" si="68"/>
        <v>1.7320753293537405</v>
      </c>
      <c r="S392">
        <v>1.6747546046101245</v>
      </c>
      <c r="T392">
        <v>70.746974999999964</v>
      </c>
      <c r="U392">
        <v>191.76077199999997</v>
      </c>
      <c r="V392">
        <v>551.17654500000003</v>
      </c>
      <c r="W392">
        <v>0.21955541849118418</v>
      </c>
      <c r="Y392">
        <f t="shared" si="69"/>
        <v>1.7526479479894159</v>
      </c>
      <c r="AE392">
        <f t="shared" si="70"/>
        <v>1.2609341877634561</v>
      </c>
      <c r="AF392">
        <f t="shared" si="71"/>
        <v>4.3139009816413589E-2</v>
      </c>
      <c r="AG392">
        <f t="shared" si="72"/>
        <v>4.3139009816413589E-2</v>
      </c>
    </row>
    <row r="393" spans="1:33" x14ac:dyDescent="0.25">
      <c r="A393">
        <v>412.822</v>
      </c>
      <c r="B393">
        <v>8.8109999999999999</v>
      </c>
      <c r="C393">
        <v>79.099999999999994</v>
      </c>
      <c r="D393">
        <v>515.61900000000003</v>
      </c>
      <c r="E393">
        <v>348.63900000000001</v>
      </c>
      <c r="F393">
        <v>2.5209999999999999</v>
      </c>
      <c r="G393">
        <v>79.650999999999996</v>
      </c>
      <c r="H393">
        <v>78.391999999999996</v>
      </c>
      <c r="I393">
        <v>5.069</v>
      </c>
      <c r="J393">
        <v>8.1769999999999996</v>
      </c>
      <c r="K393">
        <v>54042.207000000002</v>
      </c>
      <c r="L393">
        <v>20.95</v>
      </c>
      <c r="N393">
        <v>283.3708049999999</v>
      </c>
      <c r="O393">
        <v>354.01124999999996</v>
      </c>
      <c r="P393">
        <v>905.50681199999997</v>
      </c>
      <c r="Q393">
        <v>713.81377199999997</v>
      </c>
      <c r="R393">
        <f t="shared" si="68"/>
        <v>1.7274973825940145</v>
      </c>
      <c r="S393">
        <v>1.6753585277565419</v>
      </c>
      <c r="T393">
        <v>70.640445000000057</v>
      </c>
      <c r="U393">
        <v>191.69304</v>
      </c>
      <c r="V393">
        <v>551.49556200000006</v>
      </c>
      <c r="W393">
        <v>0.21949876543158822</v>
      </c>
      <c r="Y393">
        <f t="shared" si="69"/>
        <v>1.7503292145830895</v>
      </c>
      <c r="AE393">
        <f t="shared" si="70"/>
        <v>1.2609341877634561</v>
      </c>
      <c r="AF393">
        <f t="shared" si="71"/>
        <v>4.3139009816413589E-2</v>
      </c>
      <c r="AG393">
        <f t="shared" si="72"/>
        <v>4.3139009816413589E-2</v>
      </c>
    </row>
    <row r="394" spans="1:33" x14ac:dyDescent="0.25">
      <c r="A394">
        <v>413.822</v>
      </c>
      <c r="B394">
        <v>8.82</v>
      </c>
      <c r="C394">
        <v>79.179000000000002</v>
      </c>
      <c r="D394">
        <v>517.76900000000001</v>
      </c>
      <c r="E394">
        <v>348.68</v>
      </c>
      <c r="F394">
        <v>2.524</v>
      </c>
      <c r="G394">
        <v>79.597999999999999</v>
      </c>
      <c r="H394">
        <v>78.072000000000003</v>
      </c>
      <c r="I394">
        <v>5.4139999999999997</v>
      </c>
      <c r="J394">
        <v>7.4210000000000003</v>
      </c>
      <c r="K394">
        <v>54031.046000000002</v>
      </c>
      <c r="L394">
        <v>21.684999999999999</v>
      </c>
      <c r="N394">
        <v>283.37984999999992</v>
      </c>
      <c r="O394">
        <v>354.09064499999994</v>
      </c>
      <c r="P394">
        <v>907.97501199999988</v>
      </c>
      <c r="Q394">
        <v>713.86083999999983</v>
      </c>
      <c r="R394">
        <f t="shared" si="68"/>
        <v>1.7269486154078324</v>
      </c>
      <c r="S394">
        <v>1.6671135023963861</v>
      </c>
      <c r="T394">
        <v>70.710795000000019</v>
      </c>
      <c r="U394">
        <v>194.11417200000005</v>
      </c>
      <c r="V394">
        <v>553.88436699999988</v>
      </c>
      <c r="W394">
        <v>0.22279628087066061</v>
      </c>
      <c r="Y394">
        <f t="shared" si="69"/>
        <v>1.7836047885146213</v>
      </c>
      <c r="AE394">
        <f t="shared" si="70"/>
        <v>1.2609341877634561</v>
      </c>
      <c r="AF394">
        <f t="shared" si="71"/>
        <v>4.3139009816413589E-2</v>
      </c>
      <c r="AG394">
        <f t="shared" si="72"/>
        <v>4.3139009816413589E-2</v>
      </c>
    </row>
    <row r="395" spans="1:33" x14ac:dyDescent="0.25">
      <c r="A395">
        <v>414.822</v>
      </c>
      <c r="B395">
        <v>8.7140000000000004</v>
      </c>
      <c r="C395">
        <v>79.185000000000002</v>
      </c>
      <c r="D395">
        <v>514.82000000000005</v>
      </c>
      <c r="E395">
        <v>348.68299999999999</v>
      </c>
      <c r="F395">
        <v>2.528</v>
      </c>
      <c r="G395">
        <v>79.097999999999999</v>
      </c>
      <c r="H395">
        <v>77.721000000000004</v>
      </c>
      <c r="I395">
        <v>5.0789999999999997</v>
      </c>
      <c r="J395">
        <v>9.0079999999999991</v>
      </c>
      <c r="K395">
        <v>53992.476999999999</v>
      </c>
      <c r="L395">
        <v>21.454999999999998</v>
      </c>
      <c r="N395">
        <v>283.27331999999996</v>
      </c>
      <c r="O395">
        <v>354.09667499999995</v>
      </c>
      <c r="P395">
        <v>904.58956000000001</v>
      </c>
      <c r="Q395">
        <v>713.86428399999988</v>
      </c>
      <c r="R395">
        <f t="shared" si="68"/>
        <v>1.7221677292790585</v>
      </c>
      <c r="S395">
        <v>1.6690243969828422</v>
      </c>
      <c r="T395">
        <v>70.823354999999992</v>
      </c>
      <c r="U395">
        <v>190.72527600000012</v>
      </c>
      <c r="V395">
        <v>550.49288500000011</v>
      </c>
      <c r="W395">
        <v>0.21780830282665706</v>
      </c>
      <c r="Y395">
        <f t="shared" si="69"/>
        <v>1.7553367197962397</v>
      </c>
      <c r="AE395">
        <f t="shared" si="70"/>
        <v>1.2609341877634561</v>
      </c>
      <c r="AF395">
        <f t="shared" si="71"/>
        <v>4.3139009816413589E-2</v>
      </c>
      <c r="AG395">
        <f t="shared" si="72"/>
        <v>4.3139009816413589E-2</v>
      </c>
    </row>
    <row r="396" spans="1:33" x14ac:dyDescent="0.25">
      <c r="A396">
        <v>415.82299999999998</v>
      </c>
      <c r="B396">
        <v>8.6839999999999993</v>
      </c>
      <c r="C396">
        <v>79.152000000000001</v>
      </c>
      <c r="D396">
        <v>513.46199999999999</v>
      </c>
      <c r="E396">
        <v>348.64100000000002</v>
      </c>
      <c r="F396">
        <v>2.4870000000000001</v>
      </c>
      <c r="G396">
        <v>79.918999999999997</v>
      </c>
      <c r="H396">
        <v>78.418999999999997</v>
      </c>
      <c r="I396">
        <v>5.3440000000000003</v>
      </c>
      <c r="J396">
        <v>7.9119999999999999</v>
      </c>
      <c r="K396">
        <v>53954.572</v>
      </c>
      <c r="L396">
        <v>21.053999999999998</v>
      </c>
      <c r="N396">
        <v>283.24316999999996</v>
      </c>
      <c r="O396">
        <v>354.06350999999995</v>
      </c>
      <c r="P396">
        <v>903.03057599999988</v>
      </c>
      <c r="Q396">
        <v>713.81606799999986</v>
      </c>
      <c r="R396">
        <f t="shared" si="68"/>
        <v>1.7305801654919941</v>
      </c>
      <c r="S396">
        <v>1.671373709161736</v>
      </c>
      <c r="T396">
        <v>70.820339999999987</v>
      </c>
      <c r="U396">
        <v>189.21450800000002</v>
      </c>
      <c r="V396">
        <v>548.96706599999993</v>
      </c>
      <c r="W396">
        <v>0.21566715989479787</v>
      </c>
      <c r="Y396">
        <f t="shared" si="69"/>
        <v>1.7399608325451756</v>
      </c>
      <c r="AE396">
        <f t="shared" si="70"/>
        <v>1.2609341877634561</v>
      </c>
      <c r="AF396">
        <f t="shared" si="71"/>
        <v>4.3139009816413589E-2</v>
      </c>
      <c r="AG396">
        <f t="shared" si="72"/>
        <v>4.3139009816413589E-2</v>
      </c>
    </row>
    <row r="397" spans="1:33" x14ac:dyDescent="0.25">
      <c r="A397">
        <v>416.82299999999998</v>
      </c>
      <c r="B397">
        <v>8.4190000000000005</v>
      </c>
      <c r="C397">
        <v>79.069000000000003</v>
      </c>
      <c r="D397">
        <v>512.75599999999997</v>
      </c>
      <c r="E397">
        <v>348.81200000000001</v>
      </c>
      <c r="F397">
        <v>2.512</v>
      </c>
      <c r="G397">
        <v>79.653999999999996</v>
      </c>
      <c r="H397">
        <v>78.174000000000007</v>
      </c>
      <c r="I397">
        <v>5.1639999999999997</v>
      </c>
      <c r="J397">
        <v>8.0380000000000003</v>
      </c>
      <c r="K397">
        <v>53956.035000000003</v>
      </c>
      <c r="L397">
        <v>21.361999999999998</v>
      </c>
      <c r="N397">
        <v>282.97684499999991</v>
      </c>
      <c r="O397">
        <v>353.98009499999995</v>
      </c>
      <c r="P397">
        <v>902.22008799999992</v>
      </c>
      <c r="Q397">
        <v>714.0123759999999</v>
      </c>
      <c r="R397">
        <f t="shared" si="68"/>
        <v>1.7276723389804927</v>
      </c>
      <c r="S397">
        <v>1.6718876536847531</v>
      </c>
      <c r="T397">
        <v>71.003250000000037</v>
      </c>
      <c r="U397">
        <v>188.20771200000001</v>
      </c>
      <c r="V397">
        <v>548.23999299999991</v>
      </c>
      <c r="W397">
        <v>0.2137831305568399</v>
      </c>
      <c r="Y397">
        <f t="shared" si="69"/>
        <v>1.7312861813929923</v>
      </c>
      <c r="AE397">
        <f t="shared" si="70"/>
        <v>1.2609341877634561</v>
      </c>
      <c r="AF397">
        <f t="shared" si="71"/>
        <v>4.3139009816413589E-2</v>
      </c>
      <c r="AG397">
        <f t="shared" si="72"/>
        <v>4.3139009816413589E-2</v>
      </c>
    </row>
    <row r="398" spans="1:33" x14ac:dyDescent="0.25">
      <c r="A398">
        <v>417.82400000000001</v>
      </c>
      <c r="B398">
        <v>8.1940000000000008</v>
      </c>
      <c r="C398">
        <v>79.113</v>
      </c>
      <c r="D398">
        <v>512.90899999999999</v>
      </c>
      <c r="E398">
        <v>348.33199999999999</v>
      </c>
      <c r="F398">
        <v>2.4910000000000001</v>
      </c>
      <c r="G398">
        <v>79.62</v>
      </c>
      <c r="H398">
        <v>78.174999999999997</v>
      </c>
      <c r="I398">
        <v>5.28</v>
      </c>
      <c r="J398">
        <v>7.609</v>
      </c>
      <c r="K398">
        <v>53950.35</v>
      </c>
      <c r="L398">
        <v>21.640999999999998</v>
      </c>
      <c r="N398">
        <v>282.75071999999994</v>
      </c>
      <c r="O398">
        <v>354.02431499999994</v>
      </c>
      <c r="P398">
        <v>902.39573199999984</v>
      </c>
      <c r="Q398">
        <v>713.46133599999996</v>
      </c>
      <c r="R398">
        <f t="shared" si="68"/>
        <v>1.7276938607995018</v>
      </c>
      <c r="S398">
        <v>1.6701139915425631</v>
      </c>
      <c r="T398">
        <v>71.273595</v>
      </c>
      <c r="U398">
        <v>188.93439599999988</v>
      </c>
      <c r="V398">
        <v>548.37141699999984</v>
      </c>
      <c r="W398">
        <v>0.21456406616466647</v>
      </c>
      <c r="Y398">
        <f t="shared" si="69"/>
        <v>1.7410026757937795</v>
      </c>
      <c r="AE398">
        <f t="shared" si="70"/>
        <v>1.2609341877634561</v>
      </c>
      <c r="AF398">
        <f t="shared" si="71"/>
        <v>4.3139009816413589E-2</v>
      </c>
      <c r="AG398">
        <f t="shared" si="72"/>
        <v>4.3139009816413589E-2</v>
      </c>
    </row>
    <row r="399" spans="1:33" x14ac:dyDescent="0.25">
      <c r="A399">
        <v>418.82499999999999</v>
      </c>
      <c r="B399">
        <v>8.2469999999999999</v>
      </c>
      <c r="C399">
        <v>79.099999999999994</v>
      </c>
      <c r="D399">
        <v>512.00199999999995</v>
      </c>
      <c r="E399">
        <v>348.21800000000002</v>
      </c>
      <c r="F399">
        <v>2.5110000000000001</v>
      </c>
      <c r="G399">
        <v>79.646000000000001</v>
      </c>
      <c r="H399">
        <v>78.162000000000006</v>
      </c>
      <c r="I399">
        <v>5.3029999999999999</v>
      </c>
      <c r="J399">
        <v>8.4039999999999999</v>
      </c>
      <c r="K399">
        <v>53933.544000000002</v>
      </c>
      <c r="L399">
        <v>21.498999999999999</v>
      </c>
      <c r="N399">
        <v>282.80398499999995</v>
      </c>
      <c r="O399">
        <v>354.01124999999996</v>
      </c>
      <c r="P399">
        <v>901.35449599999981</v>
      </c>
      <c r="Q399">
        <v>713.33046399999989</v>
      </c>
      <c r="R399">
        <f t="shared" si="68"/>
        <v>1.7276131722179775</v>
      </c>
      <c r="S399">
        <v>1.6696414620920379</v>
      </c>
      <c r="T399">
        <v>71.207265000000007</v>
      </c>
      <c r="U399">
        <v>188.02403199999992</v>
      </c>
      <c r="V399">
        <v>547.34324599999991</v>
      </c>
      <c r="W399">
        <v>0.21342506343816278</v>
      </c>
      <c r="Y399">
        <f t="shared" si="69"/>
        <v>1.7355128200437302</v>
      </c>
      <c r="AE399">
        <f t="shared" si="70"/>
        <v>1.2609341877634561</v>
      </c>
      <c r="AF399">
        <f t="shared" si="71"/>
        <v>4.3139009816413589E-2</v>
      </c>
      <c r="AG399">
        <f t="shared" si="72"/>
        <v>4.3139009816413589E-2</v>
      </c>
    </row>
    <row r="400" spans="1:33" x14ac:dyDescent="0.25">
      <c r="A400">
        <v>419.82499999999999</v>
      </c>
      <c r="B400">
        <v>8.1780000000000008</v>
      </c>
      <c r="C400">
        <v>79.036000000000001</v>
      </c>
      <c r="D400">
        <v>510.51499999999999</v>
      </c>
      <c r="E400">
        <v>348.25700000000001</v>
      </c>
      <c r="F400">
        <v>2.4950000000000001</v>
      </c>
      <c r="G400">
        <v>78.932000000000002</v>
      </c>
      <c r="H400">
        <v>77.614999999999995</v>
      </c>
      <c r="I400">
        <v>5.3620000000000001</v>
      </c>
      <c r="J400">
        <v>7.9870000000000001</v>
      </c>
      <c r="K400">
        <v>53906.629000000001</v>
      </c>
      <c r="L400">
        <v>21.515000000000001</v>
      </c>
      <c r="N400">
        <v>282.73463999999996</v>
      </c>
      <c r="O400">
        <v>353.94692999999995</v>
      </c>
      <c r="P400">
        <v>899.6474199999999</v>
      </c>
      <c r="Q400">
        <v>713.37523599999986</v>
      </c>
      <c r="R400">
        <f t="shared" si="68"/>
        <v>1.7211377895183735</v>
      </c>
      <c r="S400">
        <v>1.663711855376532</v>
      </c>
      <c r="T400">
        <v>71.212289999999996</v>
      </c>
      <c r="U400">
        <v>186.27218400000004</v>
      </c>
      <c r="V400">
        <v>545.70048999999995</v>
      </c>
      <c r="W400">
        <v>0.21084806795757147</v>
      </c>
      <c r="Y400">
        <f t="shared" si="69"/>
        <v>1.7338901831850271</v>
      </c>
      <c r="AE400">
        <f t="shared" si="70"/>
        <v>1.2609341877634561</v>
      </c>
      <c r="AF400">
        <f t="shared" si="71"/>
        <v>4.3139009816413589E-2</v>
      </c>
      <c r="AG400">
        <f t="shared" si="72"/>
        <v>4.3139009816413589E-2</v>
      </c>
    </row>
    <row r="401" spans="1:33" x14ac:dyDescent="0.25">
      <c r="A401">
        <v>420.82499999999999</v>
      </c>
      <c r="B401">
        <v>8.1829999999999998</v>
      </c>
      <c r="C401">
        <v>78.867000000000004</v>
      </c>
      <c r="D401">
        <v>507.673</v>
      </c>
      <c r="E401">
        <v>347.46699999999998</v>
      </c>
      <c r="F401">
        <v>2.4889999999999999</v>
      </c>
      <c r="G401">
        <v>79.591999999999999</v>
      </c>
      <c r="H401">
        <v>78.132000000000005</v>
      </c>
      <c r="I401">
        <v>5.38</v>
      </c>
      <c r="J401">
        <v>8.1769999999999996</v>
      </c>
      <c r="K401">
        <v>53876.955999999998</v>
      </c>
      <c r="L401">
        <v>21.065000000000001</v>
      </c>
      <c r="N401">
        <v>282.73966499999995</v>
      </c>
      <c r="O401">
        <v>353.77708499999994</v>
      </c>
      <c r="P401">
        <v>896.38480399999992</v>
      </c>
      <c r="Q401">
        <v>712.46831599999985</v>
      </c>
      <c r="R401">
        <f t="shared" si="68"/>
        <v>1.7274622838219058</v>
      </c>
      <c r="S401">
        <v>1.6681851579720794</v>
      </c>
      <c r="T401">
        <v>71.037419999999997</v>
      </c>
      <c r="U401">
        <v>183.91648800000007</v>
      </c>
      <c r="V401">
        <v>542.60771899999997</v>
      </c>
      <c r="W401">
        <v>0.20803070809245175</v>
      </c>
      <c r="Y401">
        <f t="shared" si="69"/>
        <v>1.7097392039870116</v>
      </c>
      <c r="AE401">
        <f t="shared" si="70"/>
        <v>1.2609341877634561</v>
      </c>
      <c r="AF401">
        <f t="shared" si="71"/>
        <v>4.3139009816413589E-2</v>
      </c>
      <c r="AG401">
        <f t="shared" si="72"/>
        <v>4.3139009816413589E-2</v>
      </c>
    </row>
    <row r="402" spans="1:33" x14ac:dyDescent="0.25">
      <c r="A402">
        <v>421.82499999999999</v>
      </c>
      <c r="B402">
        <v>8.1270000000000007</v>
      </c>
      <c r="C402">
        <v>78.897999999999996</v>
      </c>
      <c r="D402">
        <v>505.68599999999998</v>
      </c>
      <c r="E402">
        <v>347.56099999999998</v>
      </c>
      <c r="F402">
        <v>2.496</v>
      </c>
      <c r="G402">
        <v>79.325000000000003</v>
      </c>
      <c r="H402">
        <v>77.784999999999997</v>
      </c>
      <c r="I402">
        <v>4.9770000000000003</v>
      </c>
      <c r="J402">
        <v>7.9870000000000001</v>
      </c>
      <c r="K402">
        <v>53870.453999999998</v>
      </c>
      <c r="L402">
        <v>21.471</v>
      </c>
      <c r="N402">
        <v>282.68338499999993</v>
      </c>
      <c r="O402">
        <v>353.80823999999996</v>
      </c>
      <c r="P402">
        <v>894.10372799999993</v>
      </c>
      <c r="Q402">
        <v>712.57622800000001</v>
      </c>
      <c r="R402">
        <f t="shared" si="68"/>
        <v>1.7248292388392015</v>
      </c>
      <c r="S402">
        <v>1.6711837532380136</v>
      </c>
      <c r="T402">
        <v>71.124855000000025</v>
      </c>
      <c r="U402">
        <v>181.52749999999992</v>
      </c>
      <c r="V402">
        <v>540.29548799999998</v>
      </c>
      <c r="W402">
        <v>0.20433752909667072</v>
      </c>
      <c r="Y402">
        <f t="shared" si="69"/>
        <v>1.6862893332464706</v>
      </c>
      <c r="AE402">
        <f t="shared" si="70"/>
        <v>1.2609341877634561</v>
      </c>
      <c r="AF402">
        <f t="shared" si="71"/>
        <v>4.3139009816413589E-2</v>
      </c>
      <c r="AG402">
        <f t="shared" si="72"/>
        <v>4.3139009816413589E-2</v>
      </c>
    </row>
    <row r="403" spans="1:33" x14ac:dyDescent="0.25">
      <c r="A403">
        <v>422.82499999999999</v>
      </c>
      <c r="B403">
        <v>7.9539999999999997</v>
      </c>
      <c r="C403">
        <v>78.867000000000004</v>
      </c>
      <c r="D403">
        <v>506.40199999999999</v>
      </c>
      <c r="E403">
        <v>347.87400000000002</v>
      </c>
      <c r="F403">
        <v>2.5110000000000001</v>
      </c>
      <c r="G403">
        <v>79.534999999999997</v>
      </c>
      <c r="H403">
        <v>78.076999999999998</v>
      </c>
      <c r="I403">
        <v>5.3019999999999996</v>
      </c>
      <c r="J403">
        <v>7.4960000000000004</v>
      </c>
      <c r="K403">
        <v>53858.428</v>
      </c>
      <c r="L403">
        <v>21.553999999999998</v>
      </c>
      <c r="N403">
        <v>282.50951999999995</v>
      </c>
      <c r="O403">
        <v>353.77708499999994</v>
      </c>
      <c r="P403">
        <v>894.92569599999979</v>
      </c>
      <c r="Q403">
        <v>712.93555199999992</v>
      </c>
      <c r="R403">
        <f t="shared" si="68"/>
        <v>1.7265661110639463</v>
      </c>
      <c r="S403">
        <v>1.6688755721402182</v>
      </c>
      <c r="T403">
        <v>71.267564999999991</v>
      </c>
      <c r="U403">
        <v>181.99014399999987</v>
      </c>
      <c r="V403">
        <v>541.14861099999985</v>
      </c>
      <c r="W403">
        <v>0.20460660297250566</v>
      </c>
      <c r="Y403">
        <f t="shared" si="69"/>
        <v>1.6933062983166649</v>
      </c>
      <c r="AE403">
        <f t="shared" si="70"/>
        <v>1.2609341877634561</v>
      </c>
      <c r="AF403">
        <f t="shared" si="71"/>
        <v>4.3139009816413589E-2</v>
      </c>
      <c r="AG403">
        <f t="shared" si="72"/>
        <v>4.3139009816413589E-2</v>
      </c>
    </row>
    <row r="404" spans="1:33" x14ac:dyDescent="0.25">
      <c r="A404">
        <v>423.82499999999999</v>
      </c>
      <c r="B404">
        <v>7.931</v>
      </c>
      <c r="C404">
        <v>78.972999999999999</v>
      </c>
      <c r="D404">
        <v>507.416</v>
      </c>
      <c r="E404">
        <v>347.82799999999997</v>
      </c>
      <c r="F404">
        <v>2.5139999999999998</v>
      </c>
      <c r="G404">
        <v>79.882000000000005</v>
      </c>
      <c r="H404">
        <v>78.338999999999999</v>
      </c>
      <c r="I404">
        <v>5.2830000000000004</v>
      </c>
      <c r="J404">
        <v>7.8280000000000003</v>
      </c>
      <c r="K404">
        <v>53872.434999999998</v>
      </c>
      <c r="L404">
        <v>21.433</v>
      </c>
      <c r="N404">
        <v>282.48640499999993</v>
      </c>
      <c r="O404">
        <v>353.88361499999996</v>
      </c>
      <c r="P404">
        <v>896.08976799999994</v>
      </c>
      <c r="Q404">
        <v>712.88274399999989</v>
      </c>
      <c r="R404">
        <f t="shared" si="68"/>
        <v>1.7297904050408437</v>
      </c>
      <c r="S404">
        <v>1.6715755219105926</v>
      </c>
      <c r="T404">
        <v>71.39721000000003</v>
      </c>
      <c r="U404">
        <v>183.20702400000005</v>
      </c>
      <c r="V404">
        <v>542.20615299999997</v>
      </c>
      <c r="W404">
        <v>0.2062127354722218</v>
      </c>
      <c r="Y404">
        <f t="shared" si="69"/>
        <v>1.6973930962896795</v>
      </c>
      <c r="AE404">
        <f t="shared" si="70"/>
        <v>1.2609341877634561</v>
      </c>
      <c r="AF404">
        <f t="shared" si="71"/>
        <v>4.3139009816413589E-2</v>
      </c>
      <c r="AG404">
        <f t="shared" si="72"/>
        <v>4.3139009816413589E-2</v>
      </c>
    </row>
    <row r="405" spans="1:33" x14ac:dyDescent="0.25">
      <c r="A405">
        <v>424.82499999999999</v>
      </c>
      <c r="B405">
        <v>7.907</v>
      </c>
      <c r="C405">
        <v>79.12</v>
      </c>
      <c r="D405">
        <v>508.67099999999999</v>
      </c>
      <c r="E405">
        <v>347.82400000000001</v>
      </c>
      <c r="F405">
        <v>2.5089999999999999</v>
      </c>
      <c r="G405">
        <v>79.531000000000006</v>
      </c>
      <c r="H405">
        <v>77.938000000000002</v>
      </c>
      <c r="I405">
        <v>5.3049999999999997</v>
      </c>
      <c r="J405">
        <v>8.8569999999999993</v>
      </c>
      <c r="K405">
        <v>53919.584999999999</v>
      </c>
      <c r="L405">
        <v>21.152999999999999</v>
      </c>
      <c r="N405">
        <v>282.46228499999995</v>
      </c>
      <c r="O405">
        <v>354.03134999999992</v>
      </c>
      <c r="P405">
        <v>897.53050799999983</v>
      </c>
      <c r="Q405">
        <v>712.87815199999989</v>
      </c>
      <c r="R405">
        <f t="shared" si="68"/>
        <v>1.7265609523719685</v>
      </c>
      <c r="S405">
        <v>1.6675520426450987</v>
      </c>
      <c r="T405">
        <v>71.569064999999966</v>
      </c>
      <c r="U405">
        <v>184.65235599999994</v>
      </c>
      <c r="V405">
        <v>543.49915799999985</v>
      </c>
      <c r="W405">
        <v>0.20806525518113131</v>
      </c>
      <c r="Y405">
        <f t="shared" si="69"/>
        <v>1.7155818427831655</v>
      </c>
      <c r="AE405">
        <f t="shared" si="70"/>
        <v>1.2609341877634561</v>
      </c>
      <c r="AF405">
        <f t="shared" si="71"/>
        <v>4.3139009816413589E-2</v>
      </c>
      <c r="AG405">
        <f t="shared" si="72"/>
        <v>4.3139009816413589E-2</v>
      </c>
    </row>
    <row r="406" spans="1:33" x14ac:dyDescent="0.25">
      <c r="A406">
        <v>425.82499999999999</v>
      </c>
      <c r="B406">
        <v>8.032</v>
      </c>
      <c r="C406">
        <v>79.034999999999997</v>
      </c>
      <c r="D406">
        <v>508.19900000000001</v>
      </c>
      <c r="E406">
        <v>347.88900000000001</v>
      </c>
      <c r="F406">
        <v>2.4870000000000001</v>
      </c>
      <c r="G406">
        <v>79.686000000000007</v>
      </c>
      <c r="H406">
        <v>78.165000000000006</v>
      </c>
      <c r="I406">
        <v>5.2889999999999997</v>
      </c>
      <c r="J406">
        <v>6.9279999999999999</v>
      </c>
      <c r="K406">
        <v>53917.588000000003</v>
      </c>
      <c r="L406">
        <v>21.449000000000002</v>
      </c>
      <c r="N406">
        <v>282.58790999999991</v>
      </c>
      <c r="O406">
        <v>353.94592499999993</v>
      </c>
      <c r="P406">
        <v>896.98865199999989</v>
      </c>
      <c r="Q406">
        <v>712.95277199999998</v>
      </c>
      <c r="R406">
        <f t="shared" si="68"/>
        <v>1.7283817826714598</v>
      </c>
      <c r="S406">
        <v>1.6698839037034996</v>
      </c>
      <c r="T406">
        <v>71.358015000000023</v>
      </c>
      <c r="U406">
        <v>184.03587999999991</v>
      </c>
      <c r="V406">
        <v>543.04272700000001</v>
      </c>
      <c r="W406">
        <v>0.20749355326510041</v>
      </c>
      <c r="Y406">
        <f t="shared" si="69"/>
        <v>1.7065159829519809</v>
      </c>
      <c r="AE406">
        <f t="shared" si="70"/>
        <v>1.2609341877634561</v>
      </c>
      <c r="AG406">
        <f t="shared" si="72"/>
        <v>0</v>
      </c>
    </row>
    <row r="407" spans="1:33" x14ac:dyDescent="0.25">
      <c r="A407">
        <v>426.82499999999999</v>
      </c>
      <c r="B407">
        <v>8.3320000000000007</v>
      </c>
      <c r="C407">
        <v>78.956000000000003</v>
      </c>
      <c r="D407">
        <v>508.10199999999998</v>
      </c>
      <c r="E407">
        <v>347.29700000000003</v>
      </c>
      <c r="F407">
        <v>2.5099999999999998</v>
      </c>
      <c r="G407">
        <v>79.447000000000003</v>
      </c>
      <c r="H407">
        <v>78.012</v>
      </c>
      <c r="I407">
        <v>5.4539999999999997</v>
      </c>
      <c r="J407">
        <v>7.4580000000000002</v>
      </c>
      <c r="K407">
        <v>53943.864000000001</v>
      </c>
      <c r="L407">
        <v>21.91</v>
      </c>
      <c r="N407">
        <v>282.88940999999994</v>
      </c>
      <c r="O407">
        <v>353.86652999999995</v>
      </c>
      <c r="P407">
        <v>896.87729599999989</v>
      </c>
      <c r="Q407">
        <v>712.27315599999997</v>
      </c>
      <c r="R407">
        <f t="shared" si="68"/>
        <v>1.7257522875200453</v>
      </c>
      <c r="S407">
        <v>1.6659507682141088</v>
      </c>
      <c r="T407">
        <v>70.977120000000014</v>
      </c>
      <c r="U407">
        <v>184.60413999999992</v>
      </c>
      <c r="V407">
        <v>543.01076599999988</v>
      </c>
      <c r="W407">
        <v>0.20925371487017613</v>
      </c>
      <c r="Y407">
        <f t="shared" si="69"/>
        <v>1.7194118237933664</v>
      </c>
      <c r="AE407">
        <f t="shared" si="70"/>
        <v>1.2609341877634561</v>
      </c>
      <c r="AG407">
        <f t="shared" si="72"/>
        <v>0</v>
      </c>
    </row>
    <row r="408" spans="1:33" x14ac:dyDescent="0.25">
      <c r="A408">
        <v>427.82499999999999</v>
      </c>
      <c r="B408">
        <v>8.3339999999999996</v>
      </c>
      <c r="C408">
        <v>78.912000000000006</v>
      </c>
      <c r="D408">
        <v>509.791</v>
      </c>
      <c r="E408">
        <v>346.97800000000001</v>
      </c>
      <c r="F408">
        <v>2.4809999999999999</v>
      </c>
      <c r="G408">
        <v>79.685000000000002</v>
      </c>
      <c r="H408">
        <v>78.225999999999999</v>
      </c>
      <c r="I408">
        <v>5.2910000000000004</v>
      </c>
      <c r="J408">
        <v>8.4779999999999998</v>
      </c>
      <c r="K408">
        <v>53941.008999999998</v>
      </c>
      <c r="L408">
        <v>21.492999999999999</v>
      </c>
      <c r="N408">
        <v>282.89141999999993</v>
      </c>
      <c r="O408">
        <v>353.82230999999996</v>
      </c>
      <c r="P408">
        <v>898.81626799999992</v>
      </c>
      <c r="Q408">
        <v>711.90694399999984</v>
      </c>
      <c r="R408">
        <f t="shared" si="68"/>
        <v>1.7284701974882291</v>
      </c>
      <c r="S408">
        <v>1.6704139129155904</v>
      </c>
      <c r="T408">
        <v>70.930890000000034</v>
      </c>
      <c r="U408">
        <v>186.90932400000008</v>
      </c>
      <c r="V408">
        <v>544.99395800000002</v>
      </c>
      <c r="W408">
        <v>0.21280682528227229</v>
      </c>
      <c r="Y408">
        <f t="shared" si="69"/>
        <v>1.7286337797467837</v>
      </c>
      <c r="AE408">
        <f t="shared" si="70"/>
        <v>1.2609341877634561</v>
      </c>
      <c r="AG408">
        <f t="shared" si="72"/>
        <v>0</v>
      </c>
    </row>
    <row r="409" spans="1:33" x14ac:dyDescent="0.25">
      <c r="A409">
        <v>428.82499999999999</v>
      </c>
      <c r="B409">
        <v>8.4139999999999997</v>
      </c>
      <c r="C409">
        <v>78.834000000000003</v>
      </c>
      <c r="D409">
        <v>511.98099999999999</v>
      </c>
      <c r="E409">
        <v>347.58699999999999</v>
      </c>
      <c r="F409">
        <v>2.4769999999999999</v>
      </c>
      <c r="G409">
        <v>79.38</v>
      </c>
      <c r="H409">
        <v>77.751000000000005</v>
      </c>
      <c r="I409">
        <v>5.2</v>
      </c>
      <c r="J409">
        <v>7.609</v>
      </c>
      <c r="K409">
        <v>53935.275000000001</v>
      </c>
      <c r="L409">
        <v>21.68</v>
      </c>
      <c r="N409">
        <v>282.97181999999992</v>
      </c>
      <c r="O409">
        <v>353.74391999999995</v>
      </c>
      <c r="P409">
        <v>901.33038799999986</v>
      </c>
      <c r="Q409">
        <v>712.60607599999992</v>
      </c>
      <c r="R409">
        <f t="shared" si="68"/>
        <v>1.7256574539758627</v>
      </c>
      <c r="S409">
        <v>1.667442502299908</v>
      </c>
      <c r="T409">
        <v>70.772100000000023</v>
      </c>
      <c r="U409">
        <v>188.72431199999994</v>
      </c>
      <c r="V409">
        <v>547.58646799999997</v>
      </c>
      <c r="W409">
        <v>0.21540381089183513</v>
      </c>
      <c r="Y409">
        <f t="shared" si="69"/>
        <v>1.7462320405242138</v>
      </c>
      <c r="AE409">
        <f t="shared" si="70"/>
        <v>1.2609341877634561</v>
      </c>
      <c r="AG409">
        <f t="shared" si="72"/>
        <v>0</v>
      </c>
    </row>
    <row r="410" spans="1:33" x14ac:dyDescent="0.25">
      <c r="A410">
        <v>429.82499999999999</v>
      </c>
      <c r="B410">
        <v>8.7530000000000001</v>
      </c>
      <c r="C410">
        <v>78.756</v>
      </c>
      <c r="D410">
        <v>512.62800000000004</v>
      </c>
      <c r="E410">
        <v>347.04199999999997</v>
      </c>
      <c r="F410">
        <v>2.5270000000000001</v>
      </c>
      <c r="G410">
        <v>79.572000000000003</v>
      </c>
      <c r="H410">
        <v>78.033000000000001</v>
      </c>
      <c r="I410">
        <v>5.3259999999999996</v>
      </c>
      <c r="J410">
        <v>7.8339999999999996</v>
      </c>
      <c r="K410">
        <v>53917.175000000003</v>
      </c>
      <c r="L410">
        <v>21.866</v>
      </c>
      <c r="N410">
        <v>283.31251499999991</v>
      </c>
      <c r="O410">
        <v>353.66552999999993</v>
      </c>
      <c r="P410">
        <v>902.07314399999996</v>
      </c>
      <c r="Q410">
        <v>711.98041599999999</v>
      </c>
      <c r="R410">
        <f t="shared" si="68"/>
        <v>1.7266545313929471</v>
      </c>
      <c r="S410">
        <v>1.668103210629813</v>
      </c>
      <c r="T410">
        <v>70.353015000000028</v>
      </c>
      <c r="U410">
        <v>190.09272799999997</v>
      </c>
      <c r="V410">
        <v>548.40761399999997</v>
      </c>
      <c r="W410">
        <v>0.2183407194634609</v>
      </c>
      <c r="Y410">
        <f t="shared" si="69"/>
        <v>1.7561698821684868</v>
      </c>
      <c r="AE410">
        <f t="shared" si="70"/>
        <v>1.2609341877634561</v>
      </c>
      <c r="AG410">
        <f t="shared" si="72"/>
        <v>0</v>
      </c>
    </row>
    <row r="411" spans="1:33" x14ac:dyDescent="0.25">
      <c r="A411">
        <v>430.82600000000002</v>
      </c>
      <c r="B411">
        <v>8.8350000000000009</v>
      </c>
      <c r="C411">
        <v>78.701999999999998</v>
      </c>
      <c r="D411">
        <v>513.53899999999999</v>
      </c>
      <c r="E411">
        <v>346.77800000000002</v>
      </c>
      <c r="F411">
        <v>2.5099999999999998</v>
      </c>
      <c r="G411">
        <v>79.793000000000006</v>
      </c>
      <c r="H411">
        <v>78.271000000000001</v>
      </c>
      <c r="I411">
        <v>5.2030000000000003</v>
      </c>
      <c r="J411">
        <v>7.6719999999999997</v>
      </c>
      <c r="K411">
        <v>53927.39</v>
      </c>
      <c r="L411">
        <v>22.102</v>
      </c>
      <c r="N411">
        <v>283.39492499999994</v>
      </c>
      <c r="O411">
        <v>353.61125999999996</v>
      </c>
      <c r="P411">
        <v>903.11897199999987</v>
      </c>
      <c r="Q411">
        <v>711.67734399999995</v>
      </c>
      <c r="R411">
        <f t="shared" si="68"/>
        <v>1.7290161305537213</v>
      </c>
      <c r="S411">
        <v>1.6721801606211422</v>
      </c>
      <c r="T411">
        <v>70.216335000000015</v>
      </c>
      <c r="U411">
        <v>191.44162799999992</v>
      </c>
      <c r="V411">
        <v>549.50771199999986</v>
      </c>
      <c r="W411">
        <v>0.22060708221689151</v>
      </c>
      <c r="Y411">
        <f t="shared" si="69"/>
        <v>1.7587205523952276</v>
      </c>
      <c r="AE411">
        <f t="shared" si="70"/>
        <v>1.2609341877634561</v>
      </c>
      <c r="AG411">
        <f t="shared" si="72"/>
        <v>0</v>
      </c>
    </row>
    <row r="412" spans="1:33" x14ac:dyDescent="0.25">
      <c r="A412">
        <v>431.82600000000002</v>
      </c>
      <c r="B412">
        <v>8.8000000000000007</v>
      </c>
      <c r="C412">
        <v>78.597999999999999</v>
      </c>
      <c r="D412">
        <v>512.82000000000005</v>
      </c>
      <c r="E412">
        <v>347.00400000000002</v>
      </c>
      <c r="F412">
        <v>2.504</v>
      </c>
      <c r="G412">
        <v>79.715000000000003</v>
      </c>
      <c r="H412">
        <v>78.227000000000004</v>
      </c>
      <c r="I412">
        <v>5.125</v>
      </c>
      <c r="J412">
        <v>7.5330000000000004</v>
      </c>
      <c r="K412">
        <v>53957.830999999998</v>
      </c>
      <c r="L412">
        <v>21.263000000000002</v>
      </c>
      <c r="N412">
        <v>283.35974999999996</v>
      </c>
      <c r="O412">
        <v>353.50673999999998</v>
      </c>
      <c r="P412">
        <v>902.29355999999996</v>
      </c>
      <c r="Q412">
        <v>711.93679199999997</v>
      </c>
      <c r="R412">
        <f t="shared" si="68"/>
        <v>1.7283781744085129</v>
      </c>
      <c r="S412">
        <v>1.67297583429229</v>
      </c>
      <c r="T412">
        <v>70.146990000000017</v>
      </c>
      <c r="U412">
        <v>190.35676799999999</v>
      </c>
      <c r="V412">
        <v>548.78682000000003</v>
      </c>
      <c r="W412">
        <v>0.21904640129659084</v>
      </c>
      <c r="Y412">
        <f t="shared" si="69"/>
        <v>1.748837599277256</v>
      </c>
      <c r="AE412">
        <f t="shared" si="70"/>
        <v>1.2609341877634561</v>
      </c>
      <c r="AG412">
        <f t="shared" si="72"/>
        <v>0</v>
      </c>
    </row>
    <row r="413" spans="1:33" x14ac:dyDescent="0.25">
      <c r="A413">
        <v>432.82600000000002</v>
      </c>
      <c r="B413">
        <v>8.7710000000000008</v>
      </c>
      <c r="C413">
        <v>78.552000000000007</v>
      </c>
      <c r="D413">
        <v>514.73199999999997</v>
      </c>
      <c r="E413">
        <v>347.34699999999998</v>
      </c>
      <c r="F413">
        <v>2.5099999999999998</v>
      </c>
      <c r="G413">
        <v>80.058999999999997</v>
      </c>
      <c r="H413">
        <v>78.545000000000002</v>
      </c>
      <c r="I413">
        <v>5.2839999999999998</v>
      </c>
      <c r="J413">
        <v>7.3819999999999997</v>
      </c>
      <c r="K413">
        <v>53980.160000000003</v>
      </c>
      <c r="L413">
        <v>21.838999999999999</v>
      </c>
      <c r="N413">
        <v>283.33060499999993</v>
      </c>
      <c r="O413">
        <v>353.46050999999994</v>
      </c>
      <c r="P413">
        <v>904.48853599999984</v>
      </c>
      <c r="Q413">
        <v>712.33055599999989</v>
      </c>
      <c r="R413">
        <f t="shared" si="68"/>
        <v>1.7315253277992642</v>
      </c>
      <c r="S413">
        <v>1.6734538167377555</v>
      </c>
      <c r="T413">
        <v>70.129905000000008</v>
      </c>
      <c r="U413">
        <v>192.15797999999995</v>
      </c>
      <c r="V413">
        <v>551.02802599999995</v>
      </c>
      <c r="W413">
        <v>0.2214552967220581</v>
      </c>
      <c r="Y413">
        <f t="shared" si="69"/>
        <v>1.760185830228933</v>
      </c>
      <c r="AE413">
        <f t="shared" si="70"/>
        <v>1.2609341877634561</v>
      </c>
      <c r="AG413">
        <f t="shared" si="72"/>
        <v>0</v>
      </c>
    </row>
    <row r="414" spans="1:33" x14ac:dyDescent="0.25">
      <c r="A414">
        <v>433.827</v>
      </c>
      <c r="B414">
        <v>8.8160000000000007</v>
      </c>
      <c r="C414">
        <v>78.528000000000006</v>
      </c>
      <c r="D414">
        <v>514.87400000000002</v>
      </c>
      <c r="E414">
        <v>346.947</v>
      </c>
      <c r="F414">
        <v>2.4969999999999999</v>
      </c>
      <c r="G414">
        <v>79.412000000000006</v>
      </c>
      <c r="H414">
        <v>78.02</v>
      </c>
      <c r="I414">
        <v>5.2670000000000003</v>
      </c>
      <c r="J414">
        <v>7.8360000000000003</v>
      </c>
      <c r="K414">
        <v>53998.802000000003</v>
      </c>
      <c r="L414">
        <v>21.888000000000002</v>
      </c>
      <c r="N414">
        <v>283.37582999999989</v>
      </c>
      <c r="O414">
        <v>353.43638999999996</v>
      </c>
      <c r="P414">
        <v>904.65155199999992</v>
      </c>
      <c r="Q414">
        <v>711.87135599999988</v>
      </c>
      <c r="R414">
        <f t="shared" si="68"/>
        <v>1.7256337443512553</v>
      </c>
      <c r="S414">
        <v>1.668888541561319</v>
      </c>
      <c r="T414">
        <v>70.060560000000066</v>
      </c>
      <c r="U414">
        <v>192.78019600000005</v>
      </c>
      <c r="V414">
        <v>551.21516199999996</v>
      </c>
      <c r="W414">
        <v>0.22263472498603001</v>
      </c>
      <c r="Y414">
        <f t="shared" si="69"/>
        <v>1.7743918778109071</v>
      </c>
      <c r="AE414">
        <f t="shared" si="70"/>
        <v>1.2609341877634561</v>
      </c>
      <c r="AG414">
        <f t="shared" si="72"/>
        <v>0</v>
      </c>
    </row>
    <row r="415" spans="1:33" x14ac:dyDescent="0.25">
      <c r="A415">
        <v>434.827</v>
      </c>
      <c r="B415">
        <v>8.9060000000000006</v>
      </c>
      <c r="C415">
        <v>78.456000000000003</v>
      </c>
      <c r="D415">
        <v>515.46400000000006</v>
      </c>
      <c r="E415">
        <v>347.75900000000001</v>
      </c>
      <c r="F415">
        <v>2.4849999999999999</v>
      </c>
      <c r="G415">
        <v>79.959999999999994</v>
      </c>
      <c r="H415">
        <v>78.427000000000007</v>
      </c>
      <c r="I415">
        <v>5.3159999999999998</v>
      </c>
      <c r="J415">
        <v>7.306</v>
      </c>
      <c r="K415">
        <v>53986.137000000002</v>
      </c>
      <c r="L415">
        <v>20.956</v>
      </c>
      <c r="N415">
        <v>283.46627999999993</v>
      </c>
      <c r="O415">
        <v>353.36402999999996</v>
      </c>
      <c r="P415">
        <v>905.32887199999993</v>
      </c>
      <c r="Q415">
        <v>712.8035319999999</v>
      </c>
      <c r="R415">
        <f t="shared" si="68"/>
        <v>1.7309996697645891</v>
      </c>
      <c r="S415">
        <v>1.6718772974562566</v>
      </c>
      <c r="T415">
        <v>69.89775000000003</v>
      </c>
      <c r="U415">
        <v>192.52534000000003</v>
      </c>
      <c r="V415">
        <v>551.96484199999998</v>
      </c>
      <c r="W415">
        <v>0.22216558133606634</v>
      </c>
      <c r="Y415">
        <f t="shared" si="69"/>
        <v>1.7649417386522654</v>
      </c>
      <c r="AE415">
        <f t="shared" si="70"/>
        <v>1.2609341877634561</v>
      </c>
      <c r="AG415">
        <f t="shared" si="72"/>
        <v>0</v>
      </c>
    </row>
    <row r="416" spans="1:33" x14ac:dyDescent="0.25">
      <c r="A416">
        <v>435.827</v>
      </c>
      <c r="B416">
        <v>9.1530000000000005</v>
      </c>
      <c r="C416">
        <v>78.358999999999995</v>
      </c>
      <c r="D416">
        <v>517.69899999999996</v>
      </c>
      <c r="E416">
        <v>347.42200000000003</v>
      </c>
      <c r="F416">
        <v>2.4990000000000001</v>
      </c>
      <c r="G416">
        <v>79.22</v>
      </c>
      <c r="H416">
        <v>77.912999999999997</v>
      </c>
      <c r="I416">
        <v>5.1859999999999999</v>
      </c>
      <c r="J416">
        <v>8.4420000000000002</v>
      </c>
      <c r="K416">
        <v>53991.288999999997</v>
      </c>
      <c r="L416">
        <v>21.927</v>
      </c>
      <c r="N416">
        <v>283.71451499999995</v>
      </c>
      <c r="O416">
        <v>353.26654499999989</v>
      </c>
      <c r="P416">
        <v>907.89465199999984</v>
      </c>
      <c r="Q416">
        <v>712.41665599999999</v>
      </c>
      <c r="R416">
        <f t="shared" si="68"/>
        <v>1.7237898470740292</v>
      </c>
      <c r="S416">
        <v>1.6691478203264449</v>
      </c>
      <c r="T416">
        <v>69.552029999999945</v>
      </c>
      <c r="U416">
        <v>195.47799599999985</v>
      </c>
      <c r="V416">
        <v>554.628107</v>
      </c>
      <c r="W416">
        <v>0.22704577068972795</v>
      </c>
      <c r="Y416">
        <f t="shared" si="69"/>
        <v>1.7922864150388029</v>
      </c>
      <c r="AE416">
        <f t="shared" si="70"/>
        <v>1.2609341877634561</v>
      </c>
      <c r="AG416">
        <f t="shared" si="72"/>
        <v>0</v>
      </c>
    </row>
    <row r="417" spans="1:33" x14ac:dyDescent="0.25">
      <c r="A417">
        <v>436.827</v>
      </c>
      <c r="B417">
        <v>9.1340000000000003</v>
      </c>
      <c r="C417">
        <v>78.299000000000007</v>
      </c>
      <c r="D417">
        <v>517.423</v>
      </c>
      <c r="E417">
        <v>346.92599999999999</v>
      </c>
      <c r="F417">
        <v>2.5049999999999999</v>
      </c>
      <c r="G417">
        <v>79.180999999999997</v>
      </c>
      <c r="H417">
        <v>77.691999999999993</v>
      </c>
      <c r="I417">
        <v>5.21</v>
      </c>
      <c r="J417">
        <v>7.0860000000000003</v>
      </c>
      <c r="K417">
        <v>53948.351999999999</v>
      </c>
      <c r="L417">
        <v>21.021999999999998</v>
      </c>
      <c r="N417">
        <v>283.69541999999996</v>
      </c>
      <c r="O417">
        <v>353.20624499999991</v>
      </c>
      <c r="P417">
        <v>907.5778039999999</v>
      </c>
      <c r="Q417">
        <v>711.84724799999992</v>
      </c>
      <c r="R417">
        <f t="shared" si="68"/>
        <v>1.7233243714919106</v>
      </c>
      <c r="S417">
        <v>1.6667463894765893</v>
      </c>
      <c r="T417">
        <v>69.510824999999954</v>
      </c>
      <c r="U417">
        <v>195.73055599999998</v>
      </c>
      <c r="V417">
        <v>554.37155899999993</v>
      </c>
      <c r="W417">
        <v>0.22768074759765958</v>
      </c>
      <c r="Y417">
        <f t="shared" si="69"/>
        <v>1.7999711059122308</v>
      </c>
      <c r="AE417">
        <f t="shared" si="70"/>
        <v>1.2609341877634561</v>
      </c>
      <c r="AG417">
        <f t="shared" si="72"/>
        <v>0</v>
      </c>
    </row>
    <row r="418" spans="1:33" x14ac:dyDescent="0.25">
      <c r="A418">
        <v>437.82799999999997</v>
      </c>
      <c r="B418">
        <v>9.1419999999999995</v>
      </c>
      <c r="C418">
        <v>78.281999999999996</v>
      </c>
      <c r="D418">
        <v>517.76599999999996</v>
      </c>
      <c r="E418">
        <v>347.024</v>
      </c>
      <c r="F418">
        <v>2.528</v>
      </c>
      <c r="G418">
        <v>79.400000000000006</v>
      </c>
      <c r="H418">
        <v>77.814999999999998</v>
      </c>
      <c r="I418">
        <v>5.2169999999999996</v>
      </c>
      <c r="J418">
        <v>8.2859999999999996</v>
      </c>
      <c r="K418">
        <v>53902.035000000003</v>
      </c>
      <c r="L418">
        <v>21.033000000000001</v>
      </c>
      <c r="N418">
        <v>283.70345999999995</v>
      </c>
      <c r="O418">
        <v>353.1891599999999</v>
      </c>
      <c r="P418">
        <v>907.97156799999982</v>
      </c>
      <c r="Q418">
        <v>711.95975199999987</v>
      </c>
      <c r="R418">
        <f t="shared" si="68"/>
        <v>1.7250160335005846</v>
      </c>
      <c r="S418">
        <v>1.6677704498836428</v>
      </c>
      <c r="T418">
        <v>69.485699999999952</v>
      </c>
      <c r="U418">
        <v>196.01181599999995</v>
      </c>
      <c r="V418">
        <v>554.78240799999992</v>
      </c>
      <c r="W418">
        <v>0.22806439817752841</v>
      </c>
      <c r="Y418">
        <f t="shared" si="69"/>
        <v>1.7997473738989211</v>
      </c>
      <c r="AE418">
        <f t="shared" si="70"/>
        <v>1.2609341877634561</v>
      </c>
      <c r="AG418">
        <f t="shared" si="72"/>
        <v>0</v>
      </c>
    </row>
    <row r="419" spans="1:33" x14ac:dyDescent="0.25">
      <c r="A419">
        <v>438.82799999999997</v>
      </c>
      <c r="B419">
        <v>9.0449999999999999</v>
      </c>
      <c r="C419">
        <v>78.227999999999994</v>
      </c>
      <c r="D419">
        <v>517.18299999999999</v>
      </c>
      <c r="E419">
        <v>346.95699999999999</v>
      </c>
      <c r="F419">
        <v>2.4860000000000002</v>
      </c>
      <c r="G419">
        <v>79.346999999999994</v>
      </c>
      <c r="H419">
        <v>77.867999999999995</v>
      </c>
      <c r="I419">
        <v>5.1059999999999999</v>
      </c>
      <c r="J419">
        <v>7.798</v>
      </c>
      <c r="K419">
        <v>53881.639000000003</v>
      </c>
      <c r="L419">
        <v>21.103999999999999</v>
      </c>
      <c r="N419">
        <v>283.60597499999994</v>
      </c>
      <c r="O419">
        <v>353.13488999999993</v>
      </c>
      <c r="P419">
        <v>907.30228399999987</v>
      </c>
      <c r="Q419">
        <v>711.88283599999988</v>
      </c>
      <c r="R419">
        <f t="shared" si="68"/>
        <v>1.7251995546581622</v>
      </c>
      <c r="S419">
        <v>1.6699629854704161</v>
      </c>
      <c r="T419">
        <v>69.528914999999984</v>
      </c>
      <c r="U419">
        <v>195.41944799999999</v>
      </c>
      <c r="V419">
        <v>554.16739399999994</v>
      </c>
      <c r="W419">
        <v>0.22717058845941415</v>
      </c>
      <c r="Y419">
        <f t="shared" si="69"/>
        <v>1.7913192397088913</v>
      </c>
      <c r="AE419">
        <f t="shared" si="70"/>
        <v>1.2609341877634561</v>
      </c>
      <c r="AG419">
        <f t="shared" si="72"/>
        <v>0</v>
      </c>
    </row>
    <row r="420" spans="1:33" x14ac:dyDescent="0.25">
      <c r="A420">
        <v>439.82799999999997</v>
      </c>
      <c r="B420">
        <v>8.8650000000000002</v>
      </c>
      <c r="C420">
        <v>78.311999999999998</v>
      </c>
      <c r="D420">
        <v>518.62099999999998</v>
      </c>
      <c r="E420">
        <v>346.73</v>
      </c>
      <c r="F420">
        <v>2.4750000000000001</v>
      </c>
      <c r="G420">
        <v>79.12</v>
      </c>
      <c r="H420">
        <v>77.647000000000006</v>
      </c>
      <c r="I420">
        <v>5.33</v>
      </c>
      <c r="J420">
        <v>7.9870000000000001</v>
      </c>
      <c r="K420">
        <v>53856.720999999998</v>
      </c>
      <c r="L420">
        <v>21.745999999999999</v>
      </c>
      <c r="N420">
        <v>283.42507499999994</v>
      </c>
      <c r="O420">
        <v>353.21930999999995</v>
      </c>
      <c r="P420">
        <v>908.95310799999993</v>
      </c>
      <c r="Q420">
        <v>711.62223999999992</v>
      </c>
      <c r="R420">
        <f t="shared" si="68"/>
        <v>1.7232366124085872</v>
      </c>
      <c r="S420">
        <v>1.6644950840760819</v>
      </c>
      <c r="T420">
        <v>69.794235000000015</v>
      </c>
      <c r="U420">
        <v>197.33086800000001</v>
      </c>
      <c r="V420">
        <v>555.73379799999998</v>
      </c>
      <c r="W420">
        <v>0.22949230991345967</v>
      </c>
      <c r="Y420">
        <f t="shared" si="69"/>
        <v>1.816448548618109</v>
      </c>
      <c r="AE420">
        <f t="shared" si="70"/>
        <v>1.2609341877634561</v>
      </c>
      <c r="AG420">
        <f t="shared" si="72"/>
        <v>0</v>
      </c>
    </row>
    <row r="421" spans="1:33" x14ac:dyDescent="0.25">
      <c r="A421">
        <v>440.82799999999997</v>
      </c>
      <c r="B421">
        <v>8.6989999999999998</v>
      </c>
      <c r="C421">
        <v>78.168999999999997</v>
      </c>
      <c r="D421">
        <v>519.55600000000004</v>
      </c>
      <c r="E421">
        <v>346.93</v>
      </c>
      <c r="F421">
        <v>2.52</v>
      </c>
      <c r="G421">
        <v>79.748999999999995</v>
      </c>
      <c r="H421">
        <v>78.27</v>
      </c>
      <c r="I421">
        <v>5.31</v>
      </c>
      <c r="J421">
        <v>7.42</v>
      </c>
      <c r="K421">
        <v>53872.589</v>
      </c>
      <c r="L421">
        <v>20.599</v>
      </c>
      <c r="N421">
        <v>283.25824499999993</v>
      </c>
      <c r="O421">
        <v>353.07559499999991</v>
      </c>
      <c r="P421">
        <v>910.02648799999997</v>
      </c>
      <c r="Q421">
        <v>711.85183999999981</v>
      </c>
      <c r="R421">
        <f t="shared" si="68"/>
        <v>1.7284380305602716</v>
      </c>
      <c r="S421">
        <v>1.6705266060104769</v>
      </c>
      <c r="T421">
        <v>69.817349999999976</v>
      </c>
      <c r="U421">
        <v>198.17464800000016</v>
      </c>
      <c r="V421">
        <v>556.95089300000006</v>
      </c>
      <c r="W421">
        <v>0.23046430055728481</v>
      </c>
      <c r="Y421">
        <f t="shared" si="69"/>
        <v>1.8100205110082017</v>
      </c>
      <c r="AE421">
        <f t="shared" si="70"/>
        <v>1.2609341877634561</v>
      </c>
      <c r="AG421">
        <f t="shared" si="72"/>
        <v>0</v>
      </c>
    </row>
    <row r="422" spans="1:33" x14ac:dyDescent="0.25">
      <c r="A422">
        <v>441.82799999999997</v>
      </c>
      <c r="B422">
        <v>8.5299999999999994</v>
      </c>
      <c r="C422">
        <v>78.12</v>
      </c>
      <c r="D422">
        <v>519.28300000000002</v>
      </c>
      <c r="E422">
        <v>346.69400000000002</v>
      </c>
      <c r="F422">
        <v>2.4980000000000002</v>
      </c>
      <c r="G422">
        <v>78.957999999999998</v>
      </c>
      <c r="H422">
        <v>77.668999999999997</v>
      </c>
      <c r="I422">
        <v>5.3440000000000003</v>
      </c>
      <c r="J422">
        <v>7.6840000000000002</v>
      </c>
      <c r="K422">
        <v>53889.078999999998</v>
      </c>
      <c r="L422">
        <v>20.791</v>
      </c>
      <c r="N422">
        <v>283.08839999999992</v>
      </c>
      <c r="O422">
        <v>353.02634999999992</v>
      </c>
      <c r="P422">
        <v>909.71308399999987</v>
      </c>
      <c r="Q422">
        <v>711.58091200000001</v>
      </c>
      <c r="R422">
        <f t="shared" si="68"/>
        <v>1.7213343647993358</v>
      </c>
      <c r="S422">
        <v>1.6644831134467677</v>
      </c>
      <c r="T422">
        <v>69.937950000000001</v>
      </c>
      <c r="U422">
        <v>198.13217199999985</v>
      </c>
      <c r="V422">
        <v>556.68673399999989</v>
      </c>
      <c r="W422">
        <v>0.2302807201437638</v>
      </c>
      <c r="Y422">
        <f t="shared" si="69"/>
        <v>1.8223251175972419</v>
      </c>
      <c r="AE422">
        <f t="shared" si="70"/>
        <v>1.2609341877634561</v>
      </c>
      <c r="AG422">
        <f t="shared" si="72"/>
        <v>0</v>
      </c>
    </row>
    <row r="423" spans="1:33" x14ac:dyDescent="0.25">
      <c r="A423">
        <v>442.82900000000001</v>
      </c>
      <c r="B423">
        <v>8.4990000000000006</v>
      </c>
      <c r="C423">
        <v>78.150999999999996</v>
      </c>
      <c r="D423">
        <v>519.90899999999999</v>
      </c>
      <c r="E423">
        <v>346.31700000000001</v>
      </c>
      <c r="F423">
        <v>2.4950000000000001</v>
      </c>
      <c r="G423">
        <v>79.128</v>
      </c>
      <c r="H423">
        <v>77.766999999999996</v>
      </c>
      <c r="I423">
        <v>5.2750000000000004</v>
      </c>
      <c r="J423">
        <v>8.1769999999999996</v>
      </c>
      <c r="K423">
        <v>53867.866000000002</v>
      </c>
      <c r="L423">
        <v>21.690999999999999</v>
      </c>
      <c r="N423">
        <v>283.05724499999997</v>
      </c>
      <c r="O423">
        <v>353.05750499999994</v>
      </c>
      <c r="P423">
        <v>910.4317319999999</v>
      </c>
      <c r="Q423">
        <v>711.14811599999996</v>
      </c>
      <c r="R423">
        <f t="shared" si="68"/>
        <v>1.7229869333459122</v>
      </c>
      <c r="S423">
        <v>1.666439898873822</v>
      </c>
      <c r="T423">
        <v>70.000259999999969</v>
      </c>
      <c r="U423">
        <v>199.28361599999994</v>
      </c>
      <c r="V423">
        <v>557.37422700000002</v>
      </c>
      <c r="W423">
        <v>0.2319507249121513</v>
      </c>
      <c r="Y423">
        <f t="shared" si="69"/>
        <v>1.8275176448302102</v>
      </c>
      <c r="AE423">
        <f t="shared" si="70"/>
        <v>1.2609341877634561</v>
      </c>
      <c r="AG423">
        <f t="shared" si="72"/>
        <v>0</v>
      </c>
    </row>
    <row r="424" spans="1:33" x14ac:dyDescent="0.25">
      <c r="A424">
        <v>443.82900000000001</v>
      </c>
      <c r="B424">
        <v>8.4079999999999995</v>
      </c>
      <c r="C424">
        <v>78.186999999999998</v>
      </c>
      <c r="D424">
        <v>517.40599999999995</v>
      </c>
      <c r="E424">
        <v>346.63600000000002</v>
      </c>
      <c r="F424">
        <v>2.4990000000000001</v>
      </c>
      <c r="G424">
        <v>79.165000000000006</v>
      </c>
      <c r="H424">
        <v>77.668000000000006</v>
      </c>
      <c r="I424">
        <v>5.2359999999999998</v>
      </c>
      <c r="J424">
        <v>7.7770000000000001</v>
      </c>
      <c r="K424">
        <v>53836.542999999998</v>
      </c>
      <c r="L424">
        <v>20.616</v>
      </c>
      <c r="N424">
        <v>282.96578999999997</v>
      </c>
      <c r="O424">
        <v>353.09368499999994</v>
      </c>
      <c r="P424">
        <v>907.55828799999983</v>
      </c>
      <c r="Q424">
        <v>711.51432799999998</v>
      </c>
      <c r="R424">
        <f t="shared" si="68"/>
        <v>1.7232709742544743</v>
      </c>
      <c r="S424">
        <v>1.6661271336080048</v>
      </c>
      <c r="T424">
        <v>70.127894999999967</v>
      </c>
      <c r="U424">
        <v>196.04395999999986</v>
      </c>
      <c r="V424">
        <v>554.4646029999999</v>
      </c>
      <c r="W424">
        <v>0.22709486650494065</v>
      </c>
      <c r="Y424">
        <f t="shared" si="69"/>
        <v>1.8041223906961907</v>
      </c>
      <c r="AE424">
        <f t="shared" si="70"/>
        <v>1.2609341877634561</v>
      </c>
      <c r="AG424">
        <f t="shared" si="72"/>
        <v>0</v>
      </c>
    </row>
    <row r="425" spans="1:33" x14ac:dyDescent="0.25">
      <c r="A425">
        <v>444.82900000000001</v>
      </c>
      <c r="B425">
        <v>8.5990000000000002</v>
      </c>
      <c r="C425">
        <v>78.257000000000005</v>
      </c>
      <c r="D425">
        <v>516.48800000000006</v>
      </c>
      <c r="E425">
        <v>346.21300000000002</v>
      </c>
      <c r="F425">
        <v>2.492</v>
      </c>
      <c r="G425">
        <v>79.863</v>
      </c>
      <c r="H425">
        <v>78.319999999999993</v>
      </c>
      <c r="I425">
        <v>5.1749999999999998</v>
      </c>
      <c r="J425">
        <v>7.407</v>
      </c>
      <c r="K425">
        <v>53835.055</v>
      </c>
      <c r="L425">
        <v>20.428999999999998</v>
      </c>
      <c r="N425">
        <v>283.15774499999992</v>
      </c>
      <c r="O425">
        <v>353.16403499999996</v>
      </c>
      <c r="P425">
        <v>906.50442399999997</v>
      </c>
      <c r="Q425">
        <v>711.02872400000001</v>
      </c>
      <c r="R425">
        <f t="shared" si="68"/>
        <v>1.7299701864291643</v>
      </c>
      <c r="S425">
        <v>1.673061881757534</v>
      </c>
      <c r="T425">
        <v>70.006290000000035</v>
      </c>
      <c r="U425">
        <v>195.47569999999996</v>
      </c>
      <c r="V425">
        <v>553.34038899999996</v>
      </c>
      <c r="W425">
        <v>0.22674905445949642</v>
      </c>
      <c r="Y425">
        <f t="shared" si="69"/>
        <v>1.7873565356878403</v>
      </c>
      <c r="AE425">
        <f t="shared" si="70"/>
        <v>1.2609341877634561</v>
      </c>
      <c r="AG425">
        <f t="shared" si="72"/>
        <v>0</v>
      </c>
    </row>
    <row r="426" spans="1:33" x14ac:dyDescent="0.25">
      <c r="A426">
        <v>445.82900000000001</v>
      </c>
      <c r="B426">
        <v>8.5890000000000004</v>
      </c>
      <c r="C426">
        <v>78.376999999999995</v>
      </c>
      <c r="D426">
        <v>518.24</v>
      </c>
      <c r="E426">
        <v>346.25400000000002</v>
      </c>
      <c r="F426">
        <v>2.5099999999999998</v>
      </c>
      <c r="G426">
        <v>79.971000000000004</v>
      </c>
      <c r="H426">
        <v>78.492000000000004</v>
      </c>
      <c r="I426">
        <v>5.5129999999999999</v>
      </c>
      <c r="J426">
        <v>8.6310000000000002</v>
      </c>
      <c r="K426">
        <v>53862.18</v>
      </c>
      <c r="L426">
        <v>20.468</v>
      </c>
      <c r="N426">
        <v>283.14769499999994</v>
      </c>
      <c r="O426">
        <v>353.28463499999992</v>
      </c>
      <c r="P426">
        <v>908.51571999999987</v>
      </c>
      <c r="Q426">
        <v>711.07579199999998</v>
      </c>
      <c r="R426">
        <f t="shared" si="68"/>
        <v>1.7306952174323176</v>
      </c>
      <c r="S426">
        <v>1.6694522671607974</v>
      </c>
      <c r="T426">
        <v>70.136939999999981</v>
      </c>
      <c r="U426">
        <v>197.4399279999999</v>
      </c>
      <c r="V426">
        <v>555.23108499999989</v>
      </c>
      <c r="W426">
        <v>0.22927928828048225</v>
      </c>
      <c r="Y426">
        <f t="shared" si="69"/>
        <v>1.8084338794169483</v>
      </c>
      <c r="AE426">
        <f t="shared" si="70"/>
        <v>1.2609341877634561</v>
      </c>
      <c r="AG426">
        <f t="shared" si="72"/>
        <v>0</v>
      </c>
    </row>
    <row r="427" spans="1:33" x14ac:dyDescent="0.25">
      <c r="A427">
        <v>446.82900000000001</v>
      </c>
      <c r="B427">
        <v>8.4049999999999994</v>
      </c>
      <c r="C427">
        <v>78.438999999999993</v>
      </c>
      <c r="D427">
        <v>518.28200000000004</v>
      </c>
      <c r="E427">
        <v>346.51799999999997</v>
      </c>
      <c r="F427">
        <v>2.528</v>
      </c>
      <c r="G427">
        <v>80.174000000000007</v>
      </c>
      <c r="H427">
        <v>78.602000000000004</v>
      </c>
      <c r="I427">
        <v>5.492</v>
      </c>
      <c r="J427">
        <v>7.6849999999999996</v>
      </c>
      <c r="K427">
        <v>53919.707000000002</v>
      </c>
      <c r="L427">
        <v>20.917000000000002</v>
      </c>
      <c r="N427">
        <v>282.96277499999991</v>
      </c>
      <c r="O427">
        <v>353.34694499999989</v>
      </c>
      <c r="P427">
        <v>908.5639359999999</v>
      </c>
      <c r="Q427">
        <v>711.37886399999979</v>
      </c>
      <c r="R427">
        <f t="shared" si="68"/>
        <v>1.7323159920021127</v>
      </c>
      <c r="S427">
        <v>1.6707831767469172</v>
      </c>
      <c r="T427">
        <v>70.384169999999983</v>
      </c>
      <c r="U427">
        <v>197.1850720000001</v>
      </c>
      <c r="V427">
        <v>555.21699100000001</v>
      </c>
      <c r="W427">
        <v>0.2283808025608498</v>
      </c>
      <c r="Y427">
        <f t="shared" si="69"/>
        <v>1.8033755106868186</v>
      </c>
      <c r="AE427">
        <f t="shared" si="70"/>
        <v>1.2609341877634561</v>
      </c>
      <c r="AG427">
        <f t="shared" si="72"/>
        <v>0</v>
      </c>
    </row>
    <row r="428" spans="1:33" x14ac:dyDescent="0.25">
      <c r="A428">
        <v>447.82900000000001</v>
      </c>
      <c r="B428">
        <v>8.2669999999999995</v>
      </c>
      <c r="C428">
        <v>78.484999999999999</v>
      </c>
      <c r="D428">
        <v>516.02099999999996</v>
      </c>
      <c r="E428">
        <v>346.43200000000002</v>
      </c>
      <c r="F428">
        <v>2.54</v>
      </c>
      <c r="G428">
        <v>80.06</v>
      </c>
      <c r="H428">
        <v>78.474999999999994</v>
      </c>
      <c r="I428">
        <v>5.3419999999999996</v>
      </c>
      <c r="J428">
        <v>8.0640000000000001</v>
      </c>
      <c r="K428">
        <v>53963.5</v>
      </c>
      <c r="L428">
        <v>20.905999999999999</v>
      </c>
      <c r="N428">
        <v>282.82408499999997</v>
      </c>
      <c r="O428">
        <v>353.39317499999993</v>
      </c>
      <c r="P428">
        <v>905.96830799999987</v>
      </c>
      <c r="Q428">
        <v>711.28013599999997</v>
      </c>
      <c r="R428">
        <f t="shared" si="68"/>
        <v>1.7310448887212373</v>
      </c>
      <c r="S428">
        <v>1.671918928354863</v>
      </c>
      <c r="T428">
        <v>70.56908999999996</v>
      </c>
      <c r="U428">
        <v>194.68817199999989</v>
      </c>
      <c r="V428">
        <v>552.57513299999994</v>
      </c>
      <c r="W428">
        <v>0.22461937678255953</v>
      </c>
      <c r="Y428">
        <f t="shared" si="69"/>
        <v>1.7834284410039358</v>
      </c>
      <c r="AE428">
        <f t="shared" si="70"/>
        <v>1.2609341877634561</v>
      </c>
      <c r="AG428">
        <f t="shared" si="72"/>
        <v>0</v>
      </c>
    </row>
    <row r="429" spans="1:33" x14ac:dyDescent="0.25">
      <c r="A429">
        <v>448.82900000000001</v>
      </c>
      <c r="B429">
        <v>8.1389999999999993</v>
      </c>
      <c r="C429">
        <v>78.549000000000007</v>
      </c>
      <c r="D429">
        <v>516.26300000000003</v>
      </c>
      <c r="E429">
        <v>347.03899999999999</v>
      </c>
      <c r="F429">
        <v>2.52</v>
      </c>
      <c r="G429">
        <v>80.376000000000005</v>
      </c>
      <c r="H429">
        <v>78.846999999999994</v>
      </c>
      <c r="I429">
        <v>5.2539999999999996</v>
      </c>
      <c r="J429">
        <v>7.4189999999999996</v>
      </c>
      <c r="K429">
        <v>53988.652000000002</v>
      </c>
      <c r="L429">
        <v>20.983000000000001</v>
      </c>
      <c r="N429">
        <v>282.69544499999995</v>
      </c>
      <c r="O429">
        <v>353.45749499999994</v>
      </c>
      <c r="P429">
        <v>906.2461239999999</v>
      </c>
      <c r="Q429">
        <v>711.97697199999993</v>
      </c>
      <c r="R429">
        <f t="shared" si="68"/>
        <v>1.7343520090548954</v>
      </c>
      <c r="S429">
        <v>1.67669235154569</v>
      </c>
      <c r="T429">
        <v>70.762049999999988</v>
      </c>
      <c r="U429">
        <v>194.26915199999996</v>
      </c>
      <c r="V429">
        <v>552.7886289999999</v>
      </c>
      <c r="W429">
        <v>0.22342554734424538</v>
      </c>
      <c r="Y429">
        <f t="shared" si="69"/>
        <v>1.7698472416523565</v>
      </c>
      <c r="AE429">
        <f t="shared" si="70"/>
        <v>1.2609341877634561</v>
      </c>
      <c r="AG429">
        <f t="shared" si="72"/>
        <v>0</v>
      </c>
    </row>
    <row r="430" spans="1:33" x14ac:dyDescent="0.25">
      <c r="A430">
        <v>449.82900000000001</v>
      </c>
      <c r="B430">
        <v>8.17</v>
      </c>
      <c r="C430">
        <v>78.552000000000007</v>
      </c>
      <c r="D430">
        <v>518.08199999999999</v>
      </c>
      <c r="E430">
        <v>347.14400000000001</v>
      </c>
      <c r="F430">
        <v>2.5230000000000001</v>
      </c>
      <c r="G430">
        <v>80.299000000000007</v>
      </c>
      <c r="H430">
        <v>78.835999999999999</v>
      </c>
      <c r="I430">
        <v>5.2519999999999998</v>
      </c>
      <c r="J430">
        <v>7.4960000000000004</v>
      </c>
      <c r="K430">
        <v>54021.099000000002</v>
      </c>
      <c r="L430">
        <v>21.422000000000001</v>
      </c>
      <c r="N430">
        <v>282.72659999999996</v>
      </c>
      <c r="O430">
        <v>353.46050999999994</v>
      </c>
      <c r="P430">
        <v>908.33433599999989</v>
      </c>
      <c r="Q430">
        <v>712.09751199999994</v>
      </c>
      <c r="R430">
        <f t="shared" si="68"/>
        <v>1.7335766767588165</v>
      </c>
      <c r="S430">
        <v>1.6766220391349127</v>
      </c>
      <c r="T430">
        <v>70.73390999999998</v>
      </c>
      <c r="U430">
        <v>196.23682399999996</v>
      </c>
      <c r="V430">
        <v>554.87382600000001</v>
      </c>
      <c r="W430">
        <v>0.22618279709592928</v>
      </c>
      <c r="Y430">
        <f t="shared" si="69"/>
        <v>1.7837988973782661</v>
      </c>
      <c r="AE430">
        <f t="shared" si="70"/>
        <v>1.2609341877634561</v>
      </c>
      <c r="AG430">
        <f t="shared" si="72"/>
        <v>0</v>
      </c>
    </row>
    <row r="431" spans="1:33" x14ac:dyDescent="0.25">
      <c r="A431">
        <v>450.82900000000001</v>
      </c>
      <c r="B431">
        <v>8.3729999999999993</v>
      </c>
      <c r="C431">
        <v>78.658000000000001</v>
      </c>
      <c r="D431">
        <v>519.17499999999995</v>
      </c>
      <c r="E431">
        <v>346.76299999999998</v>
      </c>
      <c r="F431">
        <v>2.5449999999999999</v>
      </c>
      <c r="G431">
        <v>80.474000000000004</v>
      </c>
      <c r="H431">
        <v>79.138999999999996</v>
      </c>
      <c r="I431">
        <v>5.242</v>
      </c>
      <c r="J431">
        <v>7.8129999999999997</v>
      </c>
      <c r="K431">
        <v>54056.553999999996</v>
      </c>
      <c r="L431">
        <v>22.234000000000002</v>
      </c>
      <c r="N431">
        <v>282.93061499999993</v>
      </c>
      <c r="O431">
        <v>353.56703999999996</v>
      </c>
      <c r="P431">
        <v>909.5890999999998</v>
      </c>
      <c r="Q431">
        <v>711.660124</v>
      </c>
      <c r="R431">
        <f t="shared" si="68"/>
        <v>1.7348672733273609</v>
      </c>
      <c r="S431">
        <v>1.6795626344926524</v>
      </c>
      <c r="T431">
        <v>70.636425000000031</v>
      </c>
      <c r="U431">
        <v>197.92897599999981</v>
      </c>
      <c r="V431">
        <v>556.02205999999978</v>
      </c>
      <c r="W431">
        <v>0.22893435379164601</v>
      </c>
      <c r="Y431">
        <f t="shared" si="69"/>
        <v>1.7910103891769078</v>
      </c>
      <c r="AE431">
        <f t="shared" si="70"/>
        <v>1.2609341877634561</v>
      </c>
      <c r="AG431">
        <f t="shared" si="72"/>
        <v>0</v>
      </c>
    </row>
    <row r="432" spans="1:33" x14ac:dyDescent="0.25">
      <c r="A432">
        <v>451.82900000000001</v>
      </c>
      <c r="B432">
        <v>8.7010000000000005</v>
      </c>
      <c r="C432">
        <v>78.653999999999996</v>
      </c>
      <c r="D432">
        <v>520.35299999999995</v>
      </c>
      <c r="E432">
        <v>346.81099999999998</v>
      </c>
      <c r="F432">
        <v>2.548</v>
      </c>
      <c r="G432">
        <v>80.28</v>
      </c>
      <c r="H432">
        <v>78.802000000000007</v>
      </c>
      <c r="I432">
        <v>5.4470000000000001</v>
      </c>
      <c r="J432">
        <v>7.6230000000000002</v>
      </c>
      <c r="K432">
        <v>54078.616999999998</v>
      </c>
      <c r="L432">
        <v>22.481000000000002</v>
      </c>
      <c r="N432">
        <v>283.26025499999997</v>
      </c>
      <c r="O432">
        <v>353.56301999999994</v>
      </c>
      <c r="P432">
        <v>910.94144399999982</v>
      </c>
      <c r="Q432">
        <v>711.71522799999991</v>
      </c>
      <c r="R432">
        <f t="shared" si="68"/>
        <v>1.7329888352444176</v>
      </c>
      <c r="S432">
        <v>1.6733090401754984</v>
      </c>
      <c r="T432">
        <v>70.302764999999965</v>
      </c>
      <c r="U432">
        <v>199.22621599999991</v>
      </c>
      <c r="V432">
        <v>557.37842399999988</v>
      </c>
      <c r="W432">
        <v>0.23130326802890377</v>
      </c>
      <c r="Y432">
        <f t="shared" si="69"/>
        <v>1.8122895077864662</v>
      </c>
      <c r="AE432">
        <f t="shared" si="70"/>
        <v>1.2609341877634561</v>
      </c>
      <c r="AG432">
        <f t="shared" si="72"/>
        <v>0</v>
      </c>
    </row>
    <row r="433" spans="1:33" x14ac:dyDescent="0.25">
      <c r="A433">
        <v>452.83</v>
      </c>
      <c r="B433">
        <v>8.9979999999999993</v>
      </c>
      <c r="C433">
        <v>78.709999999999994</v>
      </c>
      <c r="D433">
        <v>520.51700000000005</v>
      </c>
      <c r="E433">
        <v>347.37799999999999</v>
      </c>
      <c r="F433">
        <v>2.524</v>
      </c>
      <c r="G433">
        <v>80.323999999999998</v>
      </c>
      <c r="H433">
        <v>78.873000000000005</v>
      </c>
      <c r="I433">
        <v>5.3319999999999999</v>
      </c>
      <c r="J433">
        <v>7.8369999999999997</v>
      </c>
      <c r="K433">
        <v>54084.447999999997</v>
      </c>
      <c r="L433">
        <v>21.684999999999999</v>
      </c>
      <c r="N433">
        <v>283.55873999999994</v>
      </c>
      <c r="O433">
        <v>353.6192999999999</v>
      </c>
      <c r="P433">
        <v>911.12971599999992</v>
      </c>
      <c r="Q433">
        <v>712.36614399999996</v>
      </c>
      <c r="R433">
        <f t="shared" si="68"/>
        <v>1.7337961216328379</v>
      </c>
      <c r="S433">
        <v>1.6757295648338724</v>
      </c>
      <c r="T433">
        <v>70.060559999999953</v>
      </c>
      <c r="U433">
        <v>198.76357199999995</v>
      </c>
      <c r="V433">
        <v>557.51041600000008</v>
      </c>
      <c r="W433">
        <v>0.23085310750499052</v>
      </c>
      <c r="Y433">
        <f t="shared" si="69"/>
        <v>1.8029642935121588</v>
      </c>
      <c r="AE433">
        <f t="shared" si="70"/>
        <v>1.2609341877634561</v>
      </c>
      <c r="AG433">
        <f t="shared" si="72"/>
        <v>0</v>
      </c>
    </row>
    <row r="434" spans="1:33" x14ac:dyDescent="0.25">
      <c r="A434">
        <v>453.83</v>
      </c>
      <c r="B434">
        <v>9.0839999999999996</v>
      </c>
      <c r="C434">
        <v>78.918999999999997</v>
      </c>
      <c r="D434">
        <v>520.14599999999996</v>
      </c>
      <c r="E434">
        <v>347.51499999999999</v>
      </c>
      <c r="F434">
        <v>2.5249999999999999</v>
      </c>
      <c r="G434">
        <v>79.947000000000003</v>
      </c>
      <c r="H434">
        <v>78.415999999999997</v>
      </c>
      <c r="I434">
        <v>5.359</v>
      </c>
      <c r="J434">
        <v>6.7759999999999998</v>
      </c>
      <c r="K434">
        <v>54075.915999999997</v>
      </c>
      <c r="L434">
        <v>21.542999999999999</v>
      </c>
      <c r="N434">
        <v>283.64516999999995</v>
      </c>
      <c r="O434">
        <v>353.82934499999993</v>
      </c>
      <c r="P434">
        <v>910.70380799999987</v>
      </c>
      <c r="Q434">
        <v>712.52341999999987</v>
      </c>
      <c r="R434">
        <f t="shared" si="68"/>
        <v>1.730224003772695</v>
      </c>
      <c r="S434">
        <v>1.6711158471049707</v>
      </c>
      <c r="T434">
        <v>70.184174999999982</v>
      </c>
      <c r="U434">
        <v>198.18038799999999</v>
      </c>
      <c r="V434">
        <v>556.87446299999988</v>
      </c>
      <c r="W434">
        <v>0.22984751771603512</v>
      </c>
      <c r="Y434">
        <f t="shared" si="69"/>
        <v>1.8075624155525951</v>
      </c>
      <c r="AE434">
        <f t="shared" si="70"/>
        <v>1.2609341877634561</v>
      </c>
      <c r="AG434">
        <f t="shared" si="72"/>
        <v>0</v>
      </c>
    </row>
    <row r="435" spans="1:33" x14ac:dyDescent="0.25">
      <c r="A435">
        <v>454.83</v>
      </c>
      <c r="B435">
        <v>9.2249999999999996</v>
      </c>
      <c r="C435">
        <v>78.975999999999999</v>
      </c>
      <c r="D435">
        <v>517.827</v>
      </c>
      <c r="E435">
        <v>347.35899999999998</v>
      </c>
      <c r="F435">
        <v>2.5249999999999999</v>
      </c>
      <c r="G435">
        <v>79.798000000000002</v>
      </c>
      <c r="H435">
        <v>78.388000000000005</v>
      </c>
      <c r="I435">
        <v>5.234</v>
      </c>
      <c r="J435">
        <v>8.0640000000000001</v>
      </c>
      <c r="K435">
        <v>54037.402999999998</v>
      </c>
      <c r="L435">
        <v>21.350999999999999</v>
      </c>
      <c r="N435">
        <v>283.78687499999995</v>
      </c>
      <c r="O435">
        <v>353.88662999999991</v>
      </c>
      <c r="P435">
        <v>908.04159599999991</v>
      </c>
      <c r="Q435">
        <v>712.34433200000001</v>
      </c>
      <c r="R435">
        <f t="shared" si="68"/>
        <v>1.7288186748408394</v>
      </c>
      <c r="S435">
        <v>1.6727794434123642</v>
      </c>
      <c r="T435">
        <v>70.099754999999959</v>
      </c>
      <c r="U435">
        <v>195.6972639999999</v>
      </c>
      <c r="V435">
        <v>554.15496600000006</v>
      </c>
      <c r="W435">
        <v>0.22664690692314382</v>
      </c>
      <c r="Y435">
        <f t="shared" si="69"/>
        <v>1.7869026091577298</v>
      </c>
      <c r="AE435">
        <f t="shared" si="70"/>
        <v>1.2609341877634561</v>
      </c>
      <c r="AG435">
        <f t="shared" si="72"/>
        <v>0</v>
      </c>
    </row>
    <row r="436" spans="1:33" x14ac:dyDescent="0.25">
      <c r="A436">
        <v>455.83100000000002</v>
      </c>
      <c r="B436">
        <v>9.2270000000000003</v>
      </c>
      <c r="C436">
        <v>79.010000000000005</v>
      </c>
      <c r="D436">
        <v>516.67499999999995</v>
      </c>
      <c r="E436">
        <v>347.51499999999999</v>
      </c>
      <c r="F436">
        <v>2.5419999999999998</v>
      </c>
      <c r="G436">
        <v>80.283000000000001</v>
      </c>
      <c r="H436">
        <v>78.917000000000002</v>
      </c>
      <c r="I436">
        <v>5.28</v>
      </c>
      <c r="J436">
        <v>7.5330000000000004</v>
      </c>
      <c r="K436">
        <v>54015.438000000002</v>
      </c>
      <c r="L436">
        <v>21.433</v>
      </c>
      <c r="N436">
        <v>283.78888499999994</v>
      </c>
      <c r="O436">
        <v>353.92079999999993</v>
      </c>
      <c r="P436">
        <v>906.7190999999998</v>
      </c>
      <c r="Q436">
        <v>712.52341999999987</v>
      </c>
      <c r="R436">
        <f t="shared" si="68"/>
        <v>1.7331151807774279</v>
      </c>
      <c r="S436">
        <v>1.6769350983636697</v>
      </c>
      <c r="T436">
        <v>70.131914999999992</v>
      </c>
      <c r="U436">
        <v>194.19567999999992</v>
      </c>
      <c r="V436">
        <v>552.79829999999993</v>
      </c>
      <c r="W436">
        <v>0.2244286297551927</v>
      </c>
      <c r="Y436">
        <f t="shared" si="69"/>
        <v>1.7677911389396055</v>
      </c>
      <c r="AE436">
        <f t="shared" si="70"/>
        <v>1.2609341877634561</v>
      </c>
      <c r="AG436">
        <f t="shared" si="72"/>
        <v>0</v>
      </c>
    </row>
    <row r="437" spans="1:33" x14ac:dyDescent="0.25">
      <c r="A437">
        <v>456.83199999999999</v>
      </c>
      <c r="B437">
        <v>9.1690000000000005</v>
      </c>
      <c r="C437">
        <v>78.971999999999994</v>
      </c>
      <c r="D437">
        <v>517.82100000000003</v>
      </c>
      <c r="E437">
        <v>347.38499999999999</v>
      </c>
      <c r="F437">
        <v>2.5139999999999998</v>
      </c>
      <c r="G437">
        <v>80.349000000000004</v>
      </c>
      <c r="H437">
        <v>78.876000000000005</v>
      </c>
      <c r="I437">
        <v>5.2270000000000003</v>
      </c>
      <c r="J437">
        <v>7.6849999999999996</v>
      </c>
      <c r="K437">
        <v>54009.921999999999</v>
      </c>
      <c r="L437">
        <v>21.241</v>
      </c>
      <c r="N437">
        <v>283.73059499999994</v>
      </c>
      <c r="O437">
        <v>353.88260999999994</v>
      </c>
      <c r="P437">
        <v>908.03470799999991</v>
      </c>
      <c r="Q437">
        <v>712.37417999999991</v>
      </c>
      <c r="R437">
        <f t="shared" si="68"/>
        <v>1.7341954836153715</v>
      </c>
      <c r="S437">
        <v>1.6773754449216847</v>
      </c>
      <c r="T437">
        <v>70.152015000000006</v>
      </c>
      <c r="U437">
        <v>195.660528</v>
      </c>
      <c r="V437">
        <v>554.15209800000002</v>
      </c>
      <c r="W437">
        <v>0.22648748142066943</v>
      </c>
      <c r="Y437">
        <f t="shared" si="69"/>
        <v>1.7776994938492654</v>
      </c>
      <c r="AE437">
        <f t="shared" si="70"/>
        <v>1.2609341877634561</v>
      </c>
      <c r="AG437">
        <f t="shared" si="72"/>
        <v>0</v>
      </c>
    </row>
    <row r="438" spans="1:33" x14ac:dyDescent="0.25">
      <c r="A438">
        <v>457.83199999999999</v>
      </c>
      <c r="B438">
        <v>8.9339999999999993</v>
      </c>
      <c r="C438">
        <v>79.037999999999997</v>
      </c>
      <c r="D438">
        <v>517.54</v>
      </c>
      <c r="E438">
        <v>348.18700000000001</v>
      </c>
      <c r="F438">
        <v>2.5350000000000001</v>
      </c>
      <c r="G438">
        <v>80.108999999999995</v>
      </c>
      <c r="H438">
        <v>78.697999999999993</v>
      </c>
      <c r="I438">
        <v>5.3129999999999997</v>
      </c>
      <c r="J438">
        <v>8.0410000000000004</v>
      </c>
      <c r="K438">
        <v>54007.69</v>
      </c>
      <c r="L438">
        <v>21.981000000000002</v>
      </c>
      <c r="N438">
        <v>283.49441999999999</v>
      </c>
      <c r="O438">
        <v>353.94893999999994</v>
      </c>
      <c r="P438">
        <v>907.71211999999991</v>
      </c>
      <c r="Q438">
        <v>713.29487599999993</v>
      </c>
      <c r="R438">
        <f t="shared" si="68"/>
        <v>1.7315886263969442</v>
      </c>
      <c r="S438">
        <v>1.6744139027505902</v>
      </c>
      <c r="T438">
        <v>70.454519999999945</v>
      </c>
      <c r="U438">
        <v>194.41724399999998</v>
      </c>
      <c r="V438">
        <v>553.76317999999992</v>
      </c>
      <c r="W438">
        <v>0.22385512160631563</v>
      </c>
      <c r="Y438">
        <f t="shared" si="69"/>
        <v>1.7727061533484509</v>
      </c>
      <c r="AE438">
        <f t="shared" si="70"/>
        <v>1.2609341877634561</v>
      </c>
      <c r="AG438">
        <f t="shared" si="72"/>
        <v>0</v>
      </c>
    </row>
    <row r="439" spans="1:33" x14ac:dyDescent="0.25">
      <c r="A439">
        <v>458.83199999999999</v>
      </c>
      <c r="B439">
        <v>8.798</v>
      </c>
      <c r="C439">
        <v>78.918999999999997</v>
      </c>
      <c r="D439">
        <v>514.99900000000002</v>
      </c>
      <c r="E439">
        <v>347.47500000000002</v>
      </c>
      <c r="F439">
        <v>2.5059999999999998</v>
      </c>
      <c r="G439">
        <v>79.247</v>
      </c>
      <c r="H439">
        <v>77.774000000000001</v>
      </c>
      <c r="I439">
        <v>5.452</v>
      </c>
      <c r="J439">
        <v>7.91</v>
      </c>
      <c r="K439">
        <v>53989.946000000004</v>
      </c>
      <c r="L439">
        <v>21.587</v>
      </c>
      <c r="N439">
        <v>283.35773999999992</v>
      </c>
      <c r="O439">
        <v>353.82934499999993</v>
      </c>
      <c r="P439">
        <v>904.79505199999994</v>
      </c>
      <c r="Q439">
        <v>712.47749999999996</v>
      </c>
      <c r="R439">
        <f t="shared" si="68"/>
        <v>1.7239307209025905</v>
      </c>
      <c r="S439">
        <v>1.6637969013877671</v>
      </c>
      <c r="T439">
        <v>70.471605000000011</v>
      </c>
      <c r="U439">
        <v>192.31755199999998</v>
      </c>
      <c r="V439">
        <v>550.96570700000007</v>
      </c>
      <c r="W439">
        <v>0.2211497838285604</v>
      </c>
      <c r="Y439">
        <f t="shared" si="69"/>
        <v>1.7798103643798933</v>
      </c>
      <c r="AE439">
        <f t="shared" si="70"/>
        <v>1.2609341877634561</v>
      </c>
      <c r="AG439">
        <f t="shared" si="72"/>
        <v>0</v>
      </c>
    </row>
    <row r="440" spans="1:33" x14ac:dyDescent="0.25">
      <c r="A440">
        <v>459.83199999999999</v>
      </c>
      <c r="B440">
        <v>8.7870000000000008</v>
      </c>
      <c r="C440">
        <v>78.808000000000007</v>
      </c>
      <c r="D440">
        <v>509.69900000000001</v>
      </c>
      <c r="E440">
        <v>347.81799999999998</v>
      </c>
      <c r="F440">
        <v>2.5110000000000001</v>
      </c>
      <c r="G440">
        <v>79.716999999999999</v>
      </c>
      <c r="H440">
        <v>78.183999999999997</v>
      </c>
      <c r="I440">
        <v>5.25</v>
      </c>
      <c r="J440">
        <v>7.9119999999999999</v>
      </c>
      <c r="K440">
        <v>53935.42</v>
      </c>
      <c r="L440">
        <v>21.481999999999999</v>
      </c>
      <c r="N440">
        <v>283.34668499999992</v>
      </c>
      <c r="O440">
        <v>353.71778999999992</v>
      </c>
      <c r="P440">
        <v>898.71065199999987</v>
      </c>
      <c r="Q440">
        <v>712.87126399999988</v>
      </c>
      <c r="R440">
        <f t="shared" si="68"/>
        <v>1.7282829140372225</v>
      </c>
      <c r="S440">
        <v>1.6706574712643678</v>
      </c>
      <c r="T440">
        <v>70.371105</v>
      </c>
      <c r="U440">
        <v>185.83938799999999</v>
      </c>
      <c r="V440">
        <v>544.99286199999995</v>
      </c>
      <c r="W440">
        <v>0.21187118410369199</v>
      </c>
      <c r="Y440">
        <f t="shared" si="69"/>
        <v>1.7184827490749137</v>
      </c>
      <c r="AE440">
        <f t="shared" si="70"/>
        <v>1.2609341877634561</v>
      </c>
      <c r="AG440">
        <f t="shared" si="72"/>
        <v>0</v>
      </c>
    </row>
    <row r="441" spans="1:33" x14ac:dyDescent="0.25">
      <c r="A441">
        <v>460.83199999999999</v>
      </c>
      <c r="B441">
        <v>8.8680000000000003</v>
      </c>
      <c r="C441">
        <v>78.695999999999998</v>
      </c>
      <c r="D441">
        <v>510.37400000000002</v>
      </c>
      <c r="E441">
        <v>347.92</v>
      </c>
      <c r="F441">
        <v>2.536</v>
      </c>
      <c r="G441">
        <v>79.984999999999999</v>
      </c>
      <c r="H441">
        <v>78.537999999999997</v>
      </c>
      <c r="I441">
        <v>5.1929999999999996</v>
      </c>
      <c r="J441">
        <v>8.2910000000000004</v>
      </c>
      <c r="K441">
        <v>53912.273999999998</v>
      </c>
      <c r="L441">
        <v>22.161999999999999</v>
      </c>
      <c r="N441">
        <v>283.42808999999994</v>
      </c>
      <c r="O441">
        <v>353.60522999999995</v>
      </c>
      <c r="P441">
        <v>899.48555199999998</v>
      </c>
      <c r="Q441">
        <v>712.98835999999983</v>
      </c>
      <c r="R441">
        <f t="shared" si="68"/>
        <v>1.7304028820400619</v>
      </c>
      <c r="S441">
        <v>1.6747904648873433</v>
      </c>
      <c r="T441">
        <v>70.177140000000009</v>
      </c>
      <c r="U441">
        <v>186.49719200000015</v>
      </c>
      <c r="V441">
        <v>545.88032199999998</v>
      </c>
      <c r="W441">
        <v>0.21308709494019853</v>
      </c>
      <c r="Y441">
        <f t="shared" si="69"/>
        <v>1.7153420326723101</v>
      </c>
      <c r="AE441">
        <f t="shared" si="70"/>
        <v>1.2609341877634561</v>
      </c>
      <c r="AG441">
        <f t="shared" si="72"/>
        <v>0</v>
      </c>
    </row>
    <row r="442" spans="1:33" x14ac:dyDescent="0.25">
      <c r="A442">
        <v>461.83199999999999</v>
      </c>
      <c r="B442">
        <v>8.8420000000000005</v>
      </c>
      <c r="C442">
        <v>78.581000000000003</v>
      </c>
      <c r="D442">
        <v>513.42499999999995</v>
      </c>
      <c r="E442">
        <v>347.59100000000001</v>
      </c>
      <c r="F442">
        <v>2.5110000000000001</v>
      </c>
      <c r="G442">
        <v>79.734999999999999</v>
      </c>
      <c r="H442">
        <v>78.191999999999993</v>
      </c>
      <c r="I442">
        <v>5.274</v>
      </c>
      <c r="J442">
        <v>7.6470000000000002</v>
      </c>
      <c r="K442">
        <v>53912.606</v>
      </c>
      <c r="L442">
        <v>21.832999999999998</v>
      </c>
      <c r="N442">
        <v>283.40195999999992</v>
      </c>
      <c r="O442">
        <v>353.48965499999997</v>
      </c>
      <c r="P442">
        <v>902.9880999999998</v>
      </c>
      <c r="Q442">
        <v>712.61066799999992</v>
      </c>
      <c r="R442">
        <f t="shared" si="68"/>
        <v>1.7284527077378764</v>
      </c>
      <c r="S442">
        <v>1.6703624027800761</v>
      </c>
      <c r="T442">
        <v>70.087695000000053</v>
      </c>
      <c r="U442">
        <v>190.37743199999989</v>
      </c>
      <c r="V442">
        <v>549.49844499999983</v>
      </c>
      <c r="W442">
        <v>0.21890823913068555</v>
      </c>
      <c r="Y442">
        <f t="shared" si="69"/>
        <v>1.7526728387423438</v>
      </c>
      <c r="AE442">
        <f t="shared" si="70"/>
        <v>1.2609341877634561</v>
      </c>
      <c r="AG442">
        <f t="shared" si="72"/>
        <v>0</v>
      </c>
    </row>
    <row r="443" spans="1:33" x14ac:dyDescent="0.25">
      <c r="A443">
        <v>462.83199999999999</v>
      </c>
      <c r="B443">
        <v>8.7129999999999992</v>
      </c>
      <c r="C443">
        <v>78.591999999999999</v>
      </c>
      <c r="D443">
        <v>516.06100000000004</v>
      </c>
      <c r="E443">
        <v>348.04300000000001</v>
      </c>
      <c r="F443">
        <v>2.5139999999999998</v>
      </c>
      <c r="G443">
        <v>79.477999999999994</v>
      </c>
      <c r="H443">
        <v>77.984999999999999</v>
      </c>
      <c r="I443">
        <v>5.1909999999999998</v>
      </c>
      <c r="J443">
        <v>9.3119999999999994</v>
      </c>
      <c r="K443">
        <v>53904.963000000003</v>
      </c>
      <c r="L443">
        <v>21.724</v>
      </c>
      <c r="N443">
        <v>283.27231499999999</v>
      </c>
      <c r="O443">
        <v>353.50070999999991</v>
      </c>
      <c r="P443">
        <v>906.01422799999989</v>
      </c>
      <c r="Q443">
        <v>713.12956399999996</v>
      </c>
      <c r="R443">
        <f t="shared" si="68"/>
        <v>1.7259795876016377</v>
      </c>
      <c r="S443">
        <v>1.6697334645922846</v>
      </c>
      <c r="T443">
        <v>70.228394999999921</v>
      </c>
      <c r="U443">
        <v>192.88466399999993</v>
      </c>
      <c r="V443">
        <v>552.51351799999998</v>
      </c>
      <c r="W443">
        <v>0.22199686524230891</v>
      </c>
      <c r="Y443">
        <f t="shared" si="69"/>
        <v>1.7710426474774041</v>
      </c>
      <c r="AE443">
        <f t="shared" si="70"/>
        <v>1.2609341877634561</v>
      </c>
      <c r="AG443">
        <f t="shared" si="72"/>
        <v>0</v>
      </c>
    </row>
    <row r="444" spans="1:33" x14ac:dyDescent="0.25">
      <c r="A444">
        <v>463.83199999999999</v>
      </c>
      <c r="B444">
        <v>8.423</v>
      </c>
      <c r="C444">
        <v>78.507000000000005</v>
      </c>
      <c r="D444">
        <v>514.49099999999999</v>
      </c>
      <c r="E444">
        <v>348.26600000000002</v>
      </c>
      <c r="F444">
        <v>2.484</v>
      </c>
      <c r="G444">
        <v>78.790000000000006</v>
      </c>
      <c r="H444">
        <v>77.409000000000006</v>
      </c>
      <c r="I444">
        <v>5.3209999999999997</v>
      </c>
      <c r="J444">
        <v>8.2910000000000004</v>
      </c>
      <c r="K444">
        <v>53873.421999999999</v>
      </c>
      <c r="L444">
        <v>21.29</v>
      </c>
      <c r="N444">
        <v>282.98086499999994</v>
      </c>
      <c r="O444">
        <v>353.41528499999993</v>
      </c>
      <c r="P444">
        <v>904.21186799999987</v>
      </c>
      <c r="Q444">
        <v>713.38556799999992</v>
      </c>
      <c r="R444">
        <f t="shared" si="68"/>
        <v>1.7199766002415462</v>
      </c>
      <c r="S444">
        <v>1.6624456676560591</v>
      </c>
      <c r="T444">
        <v>70.434419999999989</v>
      </c>
      <c r="U444">
        <v>190.82629999999995</v>
      </c>
      <c r="V444">
        <v>550.79658299999994</v>
      </c>
      <c r="W444">
        <v>0.21857775395821577</v>
      </c>
      <c r="Y444">
        <f t="shared" si="69"/>
        <v>1.769797390595562</v>
      </c>
      <c r="AE444">
        <f t="shared" si="70"/>
        <v>1.2609341877634561</v>
      </c>
      <c r="AG444">
        <f t="shared" si="72"/>
        <v>0</v>
      </c>
    </row>
    <row r="445" spans="1:33" x14ac:dyDescent="0.25">
      <c r="A445">
        <v>464.83199999999999</v>
      </c>
      <c r="B445">
        <v>8.3089999999999993</v>
      </c>
      <c r="C445">
        <v>78.460999999999999</v>
      </c>
      <c r="D445">
        <v>510.57799999999997</v>
      </c>
      <c r="E445">
        <v>347.86799999999999</v>
      </c>
      <c r="F445">
        <v>2.4929999999999999</v>
      </c>
      <c r="G445">
        <v>78.927999999999997</v>
      </c>
      <c r="H445">
        <v>77.480999999999995</v>
      </c>
      <c r="I445">
        <v>5.1219999999999999</v>
      </c>
      <c r="J445">
        <v>8.1530000000000005</v>
      </c>
      <c r="K445">
        <v>53812.110999999997</v>
      </c>
      <c r="L445">
        <v>21.164000000000001</v>
      </c>
      <c r="N445">
        <v>282.86629499999998</v>
      </c>
      <c r="O445">
        <v>353.36905499999995</v>
      </c>
      <c r="P445">
        <v>899.71974399999988</v>
      </c>
      <c r="Q445">
        <v>712.92866400000003</v>
      </c>
      <c r="R445">
        <f t="shared" si="68"/>
        <v>1.7211325276197484</v>
      </c>
      <c r="S445">
        <v>1.6661541860764855</v>
      </c>
      <c r="T445">
        <v>70.502759999999967</v>
      </c>
      <c r="U445">
        <v>186.79107999999985</v>
      </c>
      <c r="V445">
        <v>546.35068899999987</v>
      </c>
      <c r="W445">
        <v>0.21284556300797475</v>
      </c>
      <c r="Y445">
        <f t="shared" si="69"/>
        <v>1.7338957768684549</v>
      </c>
      <c r="AE445">
        <f t="shared" si="70"/>
        <v>1.2609341877634561</v>
      </c>
      <c r="AG445">
        <f t="shared" si="72"/>
        <v>0</v>
      </c>
    </row>
    <row r="446" spans="1:33" x14ac:dyDescent="0.25">
      <c r="A446">
        <v>465.83199999999999</v>
      </c>
      <c r="B446">
        <v>8.1370000000000005</v>
      </c>
      <c r="C446">
        <v>78.525999999999996</v>
      </c>
      <c r="D446">
        <v>510.83699999999999</v>
      </c>
      <c r="E446">
        <v>347.31200000000001</v>
      </c>
      <c r="F446">
        <v>2.4900000000000002</v>
      </c>
      <c r="G446">
        <v>79.085999999999999</v>
      </c>
      <c r="H446">
        <v>77.715999999999994</v>
      </c>
      <c r="I446">
        <v>5.2839999999999998</v>
      </c>
      <c r="J446">
        <v>8.1059999999999999</v>
      </c>
      <c r="K446">
        <v>53769.409</v>
      </c>
      <c r="L446">
        <v>21.295999999999999</v>
      </c>
      <c r="N446">
        <v>282.69343499999997</v>
      </c>
      <c r="O446">
        <v>353.43437999999998</v>
      </c>
      <c r="P446">
        <v>900.01707599999986</v>
      </c>
      <c r="Q446">
        <v>712.29037599999992</v>
      </c>
      <c r="R446">
        <f t="shared" si="68"/>
        <v>1.7226719501839798</v>
      </c>
      <c r="S446">
        <v>1.6658332107662892</v>
      </c>
      <c r="T446">
        <v>70.740945000000011</v>
      </c>
      <c r="U446">
        <v>187.72669999999994</v>
      </c>
      <c r="V446">
        <v>546.58269599999994</v>
      </c>
      <c r="W446">
        <v>0.21403120855476174</v>
      </c>
      <c r="Y446">
        <f t="shared" si="69"/>
        <v>1.7426216371199772</v>
      </c>
      <c r="AE446">
        <f t="shared" si="70"/>
        <v>1.2609341877634561</v>
      </c>
      <c r="AG446">
        <f t="shared" si="72"/>
        <v>0</v>
      </c>
    </row>
    <row r="447" spans="1:33" x14ac:dyDescent="0.25">
      <c r="A447">
        <v>466.83300000000003</v>
      </c>
      <c r="B447">
        <v>8.18</v>
      </c>
      <c r="C447">
        <v>78.504000000000005</v>
      </c>
      <c r="D447">
        <v>508.83499999999998</v>
      </c>
      <c r="E447">
        <v>347.53399999999999</v>
      </c>
      <c r="F447">
        <v>2.4889999999999999</v>
      </c>
      <c r="G447">
        <v>79.132000000000005</v>
      </c>
      <c r="H447">
        <v>77.641999999999996</v>
      </c>
      <c r="I447">
        <v>5.351</v>
      </c>
      <c r="J447">
        <v>7.3440000000000003</v>
      </c>
      <c r="K447">
        <v>53765.002</v>
      </c>
      <c r="L447">
        <v>21.893999999999998</v>
      </c>
      <c r="N447">
        <v>282.73664999999994</v>
      </c>
      <c r="O447">
        <v>353.41226999999998</v>
      </c>
      <c r="P447">
        <v>897.71877999999981</v>
      </c>
      <c r="Q447">
        <v>712.54523199999994</v>
      </c>
      <c r="R447">
        <f t="shared" si="68"/>
        <v>1.7231222107954598</v>
      </c>
      <c r="S447">
        <v>1.664128028222065</v>
      </c>
      <c r="T447">
        <v>70.675620000000038</v>
      </c>
      <c r="U447">
        <v>185.17354799999987</v>
      </c>
      <c r="V447">
        <v>544.30650999999989</v>
      </c>
      <c r="W447">
        <v>0.21035561011386739</v>
      </c>
      <c r="Y447">
        <f t="shared" si="69"/>
        <v>1.7265712493004117</v>
      </c>
      <c r="AE447">
        <f t="shared" si="70"/>
        <v>1.2609341877634561</v>
      </c>
      <c r="AG447">
        <f t="shared" si="72"/>
        <v>0</v>
      </c>
    </row>
    <row r="448" spans="1:33" x14ac:dyDescent="0.25">
      <c r="A448">
        <v>467.83300000000003</v>
      </c>
      <c r="B448">
        <v>8.27</v>
      </c>
      <c r="C448">
        <v>78.509</v>
      </c>
      <c r="D448">
        <v>505.98200000000003</v>
      </c>
      <c r="E448">
        <v>347.572</v>
      </c>
      <c r="F448">
        <v>2.4870000000000001</v>
      </c>
      <c r="G448">
        <v>79.177000000000007</v>
      </c>
      <c r="H448">
        <v>77.611000000000004</v>
      </c>
      <c r="I448">
        <v>5.3070000000000004</v>
      </c>
      <c r="J448">
        <v>7.7229999999999999</v>
      </c>
      <c r="K448">
        <v>53758.006000000001</v>
      </c>
      <c r="L448">
        <v>21.63</v>
      </c>
      <c r="N448">
        <v>282.82709999999992</v>
      </c>
      <c r="O448">
        <v>353.41729499999997</v>
      </c>
      <c r="P448">
        <v>894.44353599999999</v>
      </c>
      <c r="Q448">
        <v>712.58885599999996</v>
      </c>
      <c r="R448">
        <f t="shared" si="68"/>
        <v>1.7235793068961291</v>
      </c>
      <c r="S448">
        <v>1.66451606973816</v>
      </c>
      <c r="T448">
        <v>70.590195000000051</v>
      </c>
      <c r="U448">
        <v>181.85468000000003</v>
      </c>
      <c r="V448">
        <v>541.02624100000003</v>
      </c>
      <c r="W448">
        <v>0.20565450724598028</v>
      </c>
      <c r="Y448">
        <f t="shared" si="69"/>
        <v>1.701104639546053</v>
      </c>
      <c r="AE448">
        <f t="shared" si="70"/>
        <v>1.2609341877634561</v>
      </c>
      <c r="AG448">
        <f t="shared" si="72"/>
        <v>0</v>
      </c>
    </row>
    <row r="449" spans="1:33" x14ac:dyDescent="0.25">
      <c r="A449">
        <v>468.83300000000003</v>
      </c>
      <c r="B449">
        <v>8.2469999999999999</v>
      </c>
      <c r="C449">
        <v>78.625</v>
      </c>
      <c r="D449">
        <v>508.36</v>
      </c>
      <c r="E449">
        <v>347.38</v>
      </c>
      <c r="F449">
        <v>2.484</v>
      </c>
      <c r="G449">
        <v>78.762</v>
      </c>
      <c r="H449">
        <v>77.435000000000002</v>
      </c>
      <c r="I449">
        <v>5.1719999999999997</v>
      </c>
      <c r="J449">
        <v>8.5169999999999995</v>
      </c>
      <c r="K449">
        <v>53741.144</v>
      </c>
      <c r="L449">
        <v>21.981000000000002</v>
      </c>
      <c r="N449">
        <v>282.80398499999995</v>
      </c>
      <c r="O449">
        <v>353.53387499999997</v>
      </c>
      <c r="P449">
        <v>897.17347999999993</v>
      </c>
      <c r="Q449">
        <v>712.36843999999996</v>
      </c>
      <c r="R449">
        <f t="shared" si="68"/>
        <v>1.71971240942029</v>
      </c>
      <c r="S449">
        <v>1.66496429623086</v>
      </c>
      <c r="T449">
        <v>70.729890000000012</v>
      </c>
      <c r="U449">
        <v>184.80503999999996</v>
      </c>
      <c r="V449">
        <v>543.63960499999996</v>
      </c>
      <c r="W449">
        <v>0.2098359813207501</v>
      </c>
      <c r="Y449">
        <f t="shared" si="69"/>
        <v>1.7225892308275039</v>
      </c>
      <c r="AE449">
        <f t="shared" si="70"/>
        <v>1.2609341877634561</v>
      </c>
      <c r="AG449">
        <f t="shared" si="72"/>
        <v>0</v>
      </c>
    </row>
    <row r="450" spans="1:33" x14ac:dyDescent="0.25">
      <c r="A450">
        <v>469.83300000000003</v>
      </c>
      <c r="B450">
        <v>8.3520000000000003</v>
      </c>
      <c r="C450">
        <v>78.635999999999996</v>
      </c>
      <c r="D450">
        <v>509.51</v>
      </c>
      <c r="E450">
        <v>347.74299999999999</v>
      </c>
      <c r="F450">
        <v>2.4940000000000002</v>
      </c>
      <c r="G450">
        <v>78.906999999999996</v>
      </c>
      <c r="H450">
        <v>77.456999999999994</v>
      </c>
      <c r="I450">
        <v>5.3319999999999999</v>
      </c>
      <c r="J450">
        <v>7.1920000000000002</v>
      </c>
      <c r="K450">
        <v>53740.254000000001</v>
      </c>
      <c r="L450">
        <v>22.036000000000001</v>
      </c>
      <c r="N450">
        <v>282.9095099999999</v>
      </c>
      <c r="O450">
        <v>353.54492999999991</v>
      </c>
      <c r="P450">
        <v>898.49367999999993</v>
      </c>
      <c r="Q450">
        <v>712.78516400000001</v>
      </c>
      <c r="R450">
        <f t="shared" si="68"/>
        <v>1.720918165179161</v>
      </c>
      <c r="S450">
        <v>1.6627186856806822</v>
      </c>
      <c r="T450">
        <v>70.635420000000011</v>
      </c>
      <c r="U450">
        <v>185.70851599999992</v>
      </c>
      <c r="V450">
        <v>544.94875000000002</v>
      </c>
      <c r="W450">
        <v>0.21116315249828521</v>
      </c>
      <c r="Y450">
        <f t="shared" si="69"/>
        <v>1.7327693252573138</v>
      </c>
      <c r="AE450">
        <f t="shared" si="70"/>
        <v>1.2609341877634561</v>
      </c>
      <c r="AG450">
        <f t="shared" si="72"/>
        <v>0</v>
      </c>
    </row>
    <row r="451" spans="1:33" x14ac:dyDescent="0.25">
      <c r="A451">
        <v>470.834</v>
      </c>
      <c r="B451">
        <v>8.4510000000000005</v>
      </c>
      <c r="C451">
        <v>78.566999999999993</v>
      </c>
      <c r="D451">
        <v>512.471</v>
      </c>
      <c r="E451">
        <v>347.45800000000003</v>
      </c>
      <c r="F451">
        <v>2.4710000000000001</v>
      </c>
      <c r="G451">
        <v>79.072000000000003</v>
      </c>
      <c r="H451">
        <v>77.587999999999994</v>
      </c>
      <c r="I451">
        <v>5.1429999999999998</v>
      </c>
      <c r="J451">
        <v>7.7990000000000004</v>
      </c>
      <c r="K451">
        <v>53764.887999999999</v>
      </c>
      <c r="L451">
        <v>21.658000000000001</v>
      </c>
      <c r="N451">
        <v>283.00900499999995</v>
      </c>
      <c r="O451">
        <v>353.47558499999997</v>
      </c>
      <c r="P451">
        <v>901.89290799999992</v>
      </c>
      <c r="Q451">
        <v>712.4579839999999</v>
      </c>
      <c r="R451">
        <f t="shared" si="68"/>
        <v>1.722848703890687</v>
      </c>
      <c r="S451">
        <v>1.6668170061577827</v>
      </c>
      <c r="T451">
        <v>70.466580000000022</v>
      </c>
      <c r="U451">
        <v>189.43492400000002</v>
      </c>
      <c r="V451">
        <v>548.4173229999999</v>
      </c>
      <c r="W451">
        <v>0.2169303174983771</v>
      </c>
      <c r="Y451">
        <f t="shared" si="69"/>
        <v>1.7529199375311186</v>
      </c>
      <c r="AE451">
        <f t="shared" si="70"/>
        <v>1.2609341877634561</v>
      </c>
      <c r="AG451">
        <f t="shared" si="72"/>
        <v>0</v>
      </c>
    </row>
    <row r="452" spans="1:33" x14ac:dyDescent="0.25">
      <c r="A452">
        <v>471.83499999999998</v>
      </c>
      <c r="B452">
        <v>8.8940000000000001</v>
      </c>
      <c r="C452">
        <v>78.646000000000001</v>
      </c>
      <c r="D452">
        <v>515.20399999999995</v>
      </c>
      <c r="E452">
        <v>347.45100000000002</v>
      </c>
      <c r="F452">
        <v>2.512</v>
      </c>
      <c r="G452">
        <v>79.418000000000006</v>
      </c>
      <c r="H452">
        <v>77.864999999999995</v>
      </c>
      <c r="I452">
        <v>5.2610000000000001</v>
      </c>
      <c r="J452">
        <v>7.8010000000000002</v>
      </c>
      <c r="K452">
        <v>53801.25</v>
      </c>
      <c r="L452">
        <v>21.684999999999999</v>
      </c>
      <c r="N452">
        <v>283.45421999999996</v>
      </c>
      <c r="O452">
        <v>353.55497999999994</v>
      </c>
      <c r="P452">
        <v>905.03039199999989</v>
      </c>
      <c r="Q452">
        <v>712.44994799999995</v>
      </c>
      <c r="R452">
        <f t="shared" si="68"/>
        <v>1.7254461759046147</v>
      </c>
      <c r="S452">
        <v>1.667555465654049</v>
      </c>
      <c r="T452">
        <v>70.10075999999998</v>
      </c>
      <c r="U452">
        <v>192.58044399999994</v>
      </c>
      <c r="V452">
        <v>551.47541200000001</v>
      </c>
      <c r="W452">
        <v>0.22209455097156708</v>
      </c>
      <c r="Y452">
        <f t="shared" si="69"/>
        <v>1.7744068003584819</v>
      </c>
      <c r="AE452">
        <f t="shared" si="70"/>
        <v>1.2609341877634561</v>
      </c>
      <c r="AG452">
        <f t="shared" si="72"/>
        <v>0</v>
      </c>
    </row>
    <row r="453" spans="1:33" x14ac:dyDescent="0.25">
      <c r="A453">
        <v>472.83499999999998</v>
      </c>
      <c r="B453">
        <v>9.1140000000000008</v>
      </c>
      <c r="C453">
        <v>78.759</v>
      </c>
      <c r="D453">
        <v>514.89700000000005</v>
      </c>
      <c r="E453">
        <v>347.29599999999999</v>
      </c>
      <c r="F453">
        <v>2.4740000000000002</v>
      </c>
      <c r="G453">
        <v>79.188999999999993</v>
      </c>
      <c r="H453">
        <v>77.781999999999996</v>
      </c>
      <c r="I453">
        <v>5.1870000000000003</v>
      </c>
      <c r="J453">
        <v>8.7059999999999995</v>
      </c>
      <c r="K453">
        <v>53826.207000000002</v>
      </c>
      <c r="L453">
        <v>22.085999999999999</v>
      </c>
      <c r="N453">
        <v>283.67531999999994</v>
      </c>
      <c r="O453">
        <v>353.66854499999994</v>
      </c>
      <c r="P453">
        <v>904.67795599999999</v>
      </c>
      <c r="Q453">
        <v>712.2720079999998</v>
      </c>
      <c r="R453">
        <f t="shared" ref="R453:R516" si="73">(G453+103.5)/(F453+103.5)</f>
        <v>1.723903976447053</v>
      </c>
      <c r="S453">
        <v>1.6679271670024933</v>
      </c>
      <c r="T453">
        <v>69.993224999999995</v>
      </c>
      <c r="U453">
        <v>192.40594800000019</v>
      </c>
      <c r="V453">
        <v>551.009411</v>
      </c>
      <c r="W453">
        <v>0.22216085706746705</v>
      </c>
      <c r="Y453">
        <f t="shared" ref="Y453:Y516" si="74">(D453-E453)/((D453+273.15)*(1-(1/S453^(0.333/1.333))))</f>
        <v>1.7727653080826311</v>
      </c>
      <c r="AE453">
        <f t="shared" ref="AE453:AE516" si="75">103500/(287*(12.85+273.15))</f>
        <v>1.2609341877634561</v>
      </c>
      <c r="AG453">
        <f t="shared" ref="AG453:AG496" si="76">(AF453+(M453*770))</f>
        <v>0</v>
      </c>
    </row>
    <row r="454" spans="1:33" x14ac:dyDescent="0.25">
      <c r="A454">
        <v>473.83499999999998</v>
      </c>
      <c r="B454">
        <v>9.0960000000000001</v>
      </c>
      <c r="C454">
        <v>78.733000000000004</v>
      </c>
      <c r="D454">
        <v>512.49699999999996</v>
      </c>
      <c r="E454">
        <v>347.08</v>
      </c>
      <c r="F454">
        <v>2.472</v>
      </c>
      <c r="G454">
        <v>79.022000000000006</v>
      </c>
      <c r="H454">
        <v>77.534000000000006</v>
      </c>
      <c r="I454">
        <v>5.2229999999999999</v>
      </c>
      <c r="J454">
        <v>8.4789999999999992</v>
      </c>
      <c r="K454">
        <v>53811.909</v>
      </c>
      <c r="L454">
        <v>21.532</v>
      </c>
      <c r="N454">
        <v>283.65722999999997</v>
      </c>
      <c r="O454">
        <v>353.64241499999997</v>
      </c>
      <c r="P454">
        <v>901.92275599999982</v>
      </c>
      <c r="Q454">
        <v>712.02404000000001</v>
      </c>
      <c r="R454">
        <f t="shared" si="73"/>
        <v>1.7223606235609406</v>
      </c>
      <c r="S454">
        <v>1.665093862384224</v>
      </c>
      <c r="T454">
        <v>69.985185000000001</v>
      </c>
      <c r="U454">
        <v>189.89871599999981</v>
      </c>
      <c r="V454">
        <v>548.28034099999991</v>
      </c>
      <c r="W454">
        <v>0.21870842711830848</v>
      </c>
      <c r="Y454">
        <f t="shared" si="74"/>
        <v>1.7604953171270936</v>
      </c>
      <c r="AE454">
        <f t="shared" si="75"/>
        <v>1.2609341877634561</v>
      </c>
      <c r="AG454">
        <f t="shared" si="76"/>
        <v>0</v>
      </c>
    </row>
    <row r="455" spans="1:33" x14ac:dyDescent="0.25">
      <c r="A455">
        <v>474.83499999999998</v>
      </c>
      <c r="B455">
        <v>9.0399999999999991</v>
      </c>
      <c r="C455">
        <v>78.650999999999996</v>
      </c>
      <c r="D455">
        <v>510.827</v>
      </c>
      <c r="E455">
        <v>347.24200000000002</v>
      </c>
      <c r="F455">
        <v>2.4740000000000002</v>
      </c>
      <c r="G455">
        <v>78.718999999999994</v>
      </c>
      <c r="H455">
        <v>77.206999999999994</v>
      </c>
      <c r="I455">
        <v>5.0990000000000002</v>
      </c>
      <c r="J455">
        <v>7.9880000000000004</v>
      </c>
      <c r="K455">
        <v>53795.055</v>
      </c>
      <c r="L455">
        <v>21.344999999999999</v>
      </c>
      <c r="N455">
        <v>283.60094999999995</v>
      </c>
      <c r="O455">
        <v>353.56000499999993</v>
      </c>
      <c r="P455">
        <v>900.00559599999985</v>
      </c>
      <c r="Q455">
        <v>712.210016</v>
      </c>
      <c r="R455">
        <f t="shared" si="73"/>
        <v>1.719468926340423</v>
      </c>
      <c r="S455">
        <v>1.6639840145857696</v>
      </c>
      <c r="T455">
        <v>69.959054999999978</v>
      </c>
      <c r="U455">
        <v>187.79557999999986</v>
      </c>
      <c r="V455">
        <v>546.44559099999992</v>
      </c>
      <c r="W455">
        <v>0.21564182590321221</v>
      </c>
      <c r="Y455">
        <f t="shared" si="74"/>
        <v>1.7468484679887657</v>
      </c>
      <c r="AE455">
        <f t="shared" si="75"/>
        <v>1.2609341877634561</v>
      </c>
      <c r="AG455">
        <f t="shared" si="76"/>
        <v>0</v>
      </c>
    </row>
    <row r="456" spans="1:33" x14ac:dyDescent="0.25">
      <c r="A456">
        <v>475.83600000000001</v>
      </c>
      <c r="B456">
        <v>8.9489999999999998</v>
      </c>
      <c r="C456">
        <v>78.66</v>
      </c>
      <c r="D456">
        <v>509.86599999999999</v>
      </c>
      <c r="E456">
        <v>346.80200000000002</v>
      </c>
      <c r="F456">
        <v>2.4889999999999999</v>
      </c>
      <c r="G456">
        <v>78.724999999999994</v>
      </c>
      <c r="H456">
        <v>77.34</v>
      </c>
      <c r="I456">
        <v>5.1760000000000002</v>
      </c>
      <c r="J456">
        <v>8.2149999999999999</v>
      </c>
      <c r="K456">
        <v>53769.207000000002</v>
      </c>
      <c r="L456">
        <v>22.013999999999999</v>
      </c>
      <c r="N456">
        <v>283.50949499999996</v>
      </c>
      <c r="O456">
        <v>353.56904999999989</v>
      </c>
      <c r="P456">
        <v>898.90236799999991</v>
      </c>
      <c r="Q456">
        <v>711.70489599999996</v>
      </c>
      <c r="R456">
        <f t="shared" si="73"/>
        <v>1.7192821896611912</v>
      </c>
      <c r="S456">
        <v>1.6640288564172403</v>
      </c>
      <c r="T456">
        <v>70.059554999999932</v>
      </c>
      <c r="U456">
        <v>187.19747199999995</v>
      </c>
      <c r="V456">
        <v>545.33331799999996</v>
      </c>
      <c r="W456">
        <v>0.21480058733546889</v>
      </c>
      <c r="Y456">
        <f t="shared" si="74"/>
        <v>1.7433355242200115</v>
      </c>
      <c r="AE456">
        <f t="shared" si="75"/>
        <v>1.2609341877634561</v>
      </c>
      <c r="AG456">
        <f t="shared" si="76"/>
        <v>0</v>
      </c>
    </row>
    <row r="457" spans="1:33" x14ac:dyDescent="0.25">
      <c r="A457">
        <v>476.83699999999999</v>
      </c>
      <c r="B457">
        <v>9.0120000000000005</v>
      </c>
      <c r="C457">
        <v>78.546000000000006</v>
      </c>
      <c r="D457">
        <v>509.63400000000001</v>
      </c>
      <c r="E457">
        <v>346.58</v>
      </c>
      <c r="F457">
        <v>2.4860000000000002</v>
      </c>
      <c r="G457">
        <v>78.980999999999995</v>
      </c>
      <c r="H457">
        <v>77.367000000000004</v>
      </c>
      <c r="I457">
        <v>5.2610000000000001</v>
      </c>
      <c r="J457">
        <v>8.14</v>
      </c>
      <c r="K457">
        <v>53764.654000000002</v>
      </c>
      <c r="L457">
        <v>21.437999999999999</v>
      </c>
      <c r="N457">
        <v>283.57280999999995</v>
      </c>
      <c r="O457">
        <v>353.45447999999993</v>
      </c>
      <c r="P457">
        <v>898.63603199999989</v>
      </c>
      <c r="Q457">
        <v>711.45003999999994</v>
      </c>
      <c r="R457">
        <f t="shared" si="73"/>
        <v>1.7217462683750684</v>
      </c>
      <c r="S457">
        <v>1.6629766184569839</v>
      </c>
      <c r="T457">
        <v>69.881669999999986</v>
      </c>
      <c r="U457">
        <v>187.18599199999994</v>
      </c>
      <c r="V457">
        <v>545.18155200000001</v>
      </c>
      <c r="W457">
        <v>0.21516561147322158</v>
      </c>
      <c r="Y457">
        <f t="shared" si="74"/>
        <v>1.745778902243067</v>
      </c>
      <c r="AE457">
        <f t="shared" si="75"/>
        <v>1.2609341877634561</v>
      </c>
      <c r="AG457">
        <f t="shared" si="76"/>
        <v>0</v>
      </c>
    </row>
    <row r="458" spans="1:33" x14ac:dyDescent="0.25">
      <c r="A458">
        <v>477.83699999999999</v>
      </c>
      <c r="B458">
        <v>9.1180000000000003</v>
      </c>
      <c r="C458">
        <v>78.47</v>
      </c>
      <c r="D458">
        <v>507.06599999999997</v>
      </c>
      <c r="E458">
        <v>346.959</v>
      </c>
      <c r="F458">
        <v>2.5019999999999998</v>
      </c>
      <c r="G458">
        <v>78.894000000000005</v>
      </c>
      <c r="H458">
        <v>77.396000000000001</v>
      </c>
      <c r="I458">
        <v>5.2919999999999998</v>
      </c>
      <c r="J458">
        <v>7.5339999999999998</v>
      </c>
      <c r="K458">
        <v>53750.347000000002</v>
      </c>
      <c r="L458">
        <v>21.581</v>
      </c>
      <c r="N458">
        <v>283.67933999999997</v>
      </c>
      <c r="O458">
        <v>353.37809999999996</v>
      </c>
      <c r="P458">
        <v>895.68796799999984</v>
      </c>
      <c r="Q458">
        <v>711.88513199999989</v>
      </c>
      <c r="R458">
        <f t="shared" si="73"/>
        <v>1.7206656478179658</v>
      </c>
      <c r="S458">
        <v>1.6627693212736232</v>
      </c>
      <c r="T458">
        <v>69.698759999999993</v>
      </c>
      <c r="U458">
        <v>183.80283599999996</v>
      </c>
      <c r="V458">
        <v>542.30986799999982</v>
      </c>
      <c r="W458">
        <v>0.21040383502665674</v>
      </c>
      <c r="Y458">
        <f t="shared" si="74"/>
        <v>1.7202637286903164</v>
      </c>
      <c r="AE458">
        <f t="shared" si="75"/>
        <v>1.2609341877634561</v>
      </c>
      <c r="AG458">
        <f t="shared" si="76"/>
        <v>0</v>
      </c>
    </row>
    <row r="459" spans="1:33" x14ac:dyDescent="0.25">
      <c r="A459">
        <v>478.83699999999999</v>
      </c>
      <c r="B459">
        <v>9.1150000000000002</v>
      </c>
      <c r="C459">
        <v>78.460999999999999</v>
      </c>
      <c r="D459">
        <v>504.70600000000002</v>
      </c>
      <c r="E459">
        <v>346.23399999999998</v>
      </c>
      <c r="F459">
        <v>2.4809999999999999</v>
      </c>
      <c r="G459">
        <v>78.603999999999999</v>
      </c>
      <c r="H459">
        <v>77.13</v>
      </c>
      <c r="I459">
        <v>5.2290000000000001</v>
      </c>
      <c r="J459">
        <v>7.8369999999999997</v>
      </c>
      <c r="K459">
        <v>53730.42</v>
      </c>
      <c r="L459">
        <v>21.757000000000001</v>
      </c>
      <c r="N459">
        <v>283.67632499999996</v>
      </c>
      <c r="O459">
        <v>353.36905499999995</v>
      </c>
      <c r="P459">
        <v>892.97868799999992</v>
      </c>
      <c r="Q459">
        <v>711.05283199999997</v>
      </c>
      <c r="R459">
        <f t="shared" si="73"/>
        <v>1.7182702559892811</v>
      </c>
      <c r="S459">
        <v>1.6612863173578345</v>
      </c>
      <c r="T459">
        <v>69.692729999999983</v>
      </c>
      <c r="U459">
        <v>181.92585599999995</v>
      </c>
      <c r="V459">
        <v>539.60963300000003</v>
      </c>
      <c r="W459">
        <v>0.2079894782011795</v>
      </c>
      <c r="Y459">
        <f t="shared" si="74"/>
        <v>1.7106780594706166</v>
      </c>
      <c r="AE459">
        <f t="shared" si="75"/>
        <v>1.2609341877634561</v>
      </c>
      <c r="AG459">
        <f t="shared" si="76"/>
        <v>0</v>
      </c>
    </row>
    <row r="460" spans="1:33" x14ac:dyDescent="0.25">
      <c r="A460">
        <v>479.83699999999999</v>
      </c>
      <c r="B460">
        <v>9.1059999999999999</v>
      </c>
      <c r="C460">
        <v>78.424999999999997</v>
      </c>
      <c r="D460">
        <v>503.62700000000001</v>
      </c>
      <c r="E460">
        <v>346.923</v>
      </c>
      <c r="F460">
        <v>2.4929999999999999</v>
      </c>
      <c r="G460">
        <v>78.753</v>
      </c>
      <c r="H460">
        <v>77.281000000000006</v>
      </c>
      <c r="I460">
        <v>5.1420000000000003</v>
      </c>
      <c r="J460">
        <v>8.0259999999999998</v>
      </c>
      <c r="K460">
        <v>53701.425999999999</v>
      </c>
      <c r="L460">
        <v>21.367000000000001</v>
      </c>
      <c r="N460">
        <v>283.66727999999995</v>
      </c>
      <c r="O460">
        <v>353.33287499999994</v>
      </c>
      <c r="P460">
        <v>891.73999600000002</v>
      </c>
      <c r="Q460">
        <v>711.84380399999986</v>
      </c>
      <c r="R460">
        <f t="shared" si="73"/>
        <v>1.719481475191758</v>
      </c>
      <c r="S460">
        <v>1.6640065536348743</v>
      </c>
      <c r="T460">
        <v>69.665594999999996</v>
      </c>
      <c r="U460">
        <v>179.89619200000016</v>
      </c>
      <c r="V460">
        <v>538.40712100000007</v>
      </c>
      <c r="W460">
        <v>0.20473465654626835</v>
      </c>
      <c r="Y460">
        <f t="shared" si="74"/>
        <v>1.6888379066000796</v>
      </c>
      <c r="AE460">
        <f t="shared" si="75"/>
        <v>1.2609341877634561</v>
      </c>
      <c r="AG460">
        <f t="shared" si="76"/>
        <v>0</v>
      </c>
    </row>
    <row r="461" spans="1:33" x14ac:dyDescent="0.25">
      <c r="A461">
        <v>480.83699999999999</v>
      </c>
      <c r="B461">
        <v>9.0060000000000002</v>
      </c>
      <c r="C461">
        <v>78.364999999999995</v>
      </c>
      <c r="D461">
        <v>505.798</v>
      </c>
      <c r="E461">
        <v>346.351</v>
      </c>
      <c r="F461">
        <v>2.4900000000000002</v>
      </c>
      <c r="G461">
        <v>79.048000000000002</v>
      </c>
      <c r="H461">
        <v>77.405000000000001</v>
      </c>
      <c r="I461">
        <v>5.1879999999999997</v>
      </c>
      <c r="J461">
        <v>7.609</v>
      </c>
      <c r="K461">
        <v>53695.538999999997</v>
      </c>
      <c r="L461">
        <v>21.724</v>
      </c>
      <c r="N461">
        <v>283.56677999999994</v>
      </c>
      <c r="O461">
        <v>353.27257499999996</v>
      </c>
      <c r="P461">
        <v>894.23230399999989</v>
      </c>
      <c r="Q461">
        <v>711.18714799999987</v>
      </c>
      <c r="R461">
        <f t="shared" si="73"/>
        <v>1.7223134257948864</v>
      </c>
      <c r="S461">
        <v>1.6644431767996466</v>
      </c>
      <c r="T461">
        <v>69.705795000000023</v>
      </c>
      <c r="U461">
        <v>183.04515600000002</v>
      </c>
      <c r="V461">
        <v>540.95972899999992</v>
      </c>
      <c r="W461">
        <v>0.20951533898746094</v>
      </c>
      <c r="Y461">
        <f t="shared" si="74"/>
        <v>1.7127830860847317</v>
      </c>
      <c r="AE461">
        <f t="shared" si="75"/>
        <v>1.2609341877634561</v>
      </c>
      <c r="AG461">
        <f t="shared" si="76"/>
        <v>0</v>
      </c>
    </row>
    <row r="462" spans="1:33" x14ac:dyDescent="0.25">
      <c r="A462">
        <v>481.83699999999999</v>
      </c>
      <c r="B462">
        <v>9.0990000000000002</v>
      </c>
      <c r="C462">
        <v>78.268000000000001</v>
      </c>
      <c r="D462">
        <v>506.90100000000001</v>
      </c>
      <c r="E462">
        <v>346.11799999999999</v>
      </c>
      <c r="F462">
        <v>2.5070000000000001</v>
      </c>
      <c r="G462">
        <v>79.045000000000002</v>
      </c>
      <c r="H462">
        <v>77.489000000000004</v>
      </c>
      <c r="I462">
        <v>5.3250000000000002</v>
      </c>
      <c r="J462">
        <v>7.8360000000000003</v>
      </c>
      <c r="K462">
        <v>53711.277000000002</v>
      </c>
      <c r="L462">
        <v>22.064</v>
      </c>
      <c r="N462">
        <v>283.66024499999992</v>
      </c>
      <c r="O462">
        <v>353.17508999999995</v>
      </c>
      <c r="P462">
        <v>895.4985479999998</v>
      </c>
      <c r="Q462">
        <v>710.91966400000001</v>
      </c>
      <c r="R462">
        <f t="shared" si="73"/>
        <v>1.7220089239389853</v>
      </c>
      <c r="S462">
        <v>1.6631196875717895</v>
      </c>
      <c r="T462">
        <v>69.514845000000037</v>
      </c>
      <c r="U462">
        <v>184.57888399999979</v>
      </c>
      <c r="V462">
        <v>542.32345799999985</v>
      </c>
      <c r="W462">
        <v>0.21216865562912784</v>
      </c>
      <c r="Y462">
        <f t="shared" si="74"/>
        <v>1.7272212368899604</v>
      </c>
      <c r="AE462">
        <f t="shared" si="75"/>
        <v>1.2609341877634561</v>
      </c>
      <c r="AG462">
        <f t="shared" si="76"/>
        <v>0</v>
      </c>
    </row>
    <row r="463" spans="1:33" x14ac:dyDescent="0.25">
      <c r="A463">
        <v>482.83699999999999</v>
      </c>
      <c r="B463">
        <v>9.0139999999999993</v>
      </c>
      <c r="C463">
        <v>78.283000000000001</v>
      </c>
      <c r="D463">
        <v>505.71300000000002</v>
      </c>
      <c r="E463">
        <v>346.03500000000003</v>
      </c>
      <c r="F463">
        <v>2.4609999999999999</v>
      </c>
      <c r="G463">
        <v>78.972999999999999</v>
      </c>
      <c r="H463">
        <v>77.334000000000003</v>
      </c>
      <c r="I463">
        <v>5.2119999999999997</v>
      </c>
      <c r="J463">
        <v>7.4980000000000002</v>
      </c>
      <c r="K463">
        <v>53714.035000000003</v>
      </c>
      <c r="L463">
        <v>21.916</v>
      </c>
      <c r="N463">
        <v>283.57481999999993</v>
      </c>
      <c r="O463">
        <v>353.19016499999998</v>
      </c>
      <c r="P463">
        <v>894.13472400000001</v>
      </c>
      <c r="Q463">
        <v>710.82437999999991</v>
      </c>
      <c r="R463">
        <f t="shared" si="73"/>
        <v>1.7220769905908779</v>
      </c>
      <c r="S463">
        <v>1.6634226212377659</v>
      </c>
      <c r="T463">
        <v>69.615345000000048</v>
      </c>
      <c r="U463">
        <v>183.3103440000001</v>
      </c>
      <c r="V463">
        <v>540.94455900000003</v>
      </c>
      <c r="W463">
        <v>0.21017865344681291</v>
      </c>
      <c r="Y463">
        <f t="shared" si="74"/>
        <v>1.7173904991137441</v>
      </c>
      <c r="AE463">
        <f t="shared" si="75"/>
        <v>1.2609341877634561</v>
      </c>
      <c r="AG463">
        <f t="shared" si="76"/>
        <v>0</v>
      </c>
    </row>
    <row r="464" spans="1:33" x14ac:dyDescent="0.25">
      <c r="A464">
        <v>483.83800000000002</v>
      </c>
      <c r="B464">
        <v>8.9529999999999994</v>
      </c>
      <c r="C464">
        <v>78.218000000000004</v>
      </c>
      <c r="D464">
        <v>509.46699999999998</v>
      </c>
      <c r="E464">
        <v>346.62</v>
      </c>
      <c r="F464">
        <v>2.4710000000000001</v>
      </c>
      <c r="G464">
        <v>79.152000000000001</v>
      </c>
      <c r="H464">
        <v>77.59</v>
      </c>
      <c r="I464">
        <v>5.2359999999999998</v>
      </c>
      <c r="J464">
        <v>8.1769999999999996</v>
      </c>
      <c r="K464">
        <v>53743.593999999997</v>
      </c>
      <c r="L464">
        <v>21.422000000000001</v>
      </c>
      <c r="N464">
        <v>283.51351499999993</v>
      </c>
      <c r="O464">
        <v>353.12483999999995</v>
      </c>
      <c r="P464">
        <v>898.44431599999984</v>
      </c>
      <c r="Q464">
        <v>711.49595999999997</v>
      </c>
      <c r="R464">
        <f t="shared" si="73"/>
        <v>1.7236036274074982</v>
      </c>
      <c r="S464">
        <v>1.6654097998822837</v>
      </c>
      <c r="T464">
        <v>69.611325000000022</v>
      </c>
      <c r="U464">
        <v>186.94835599999988</v>
      </c>
      <c r="V464">
        <v>545.3194759999999</v>
      </c>
      <c r="W464">
        <v>0.21517117243030556</v>
      </c>
      <c r="Y464">
        <f t="shared" si="74"/>
        <v>1.739246670366686</v>
      </c>
      <c r="AE464">
        <f t="shared" si="75"/>
        <v>1.2609341877634561</v>
      </c>
      <c r="AG464">
        <f t="shared" si="76"/>
        <v>0</v>
      </c>
    </row>
    <row r="465" spans="1:33" x14ac:dyDescent="0.25">
      <c r="A465">
        <v>484.83800000000002</v>
      </c>
      <c r="B465">
        <v>9.0589999999999993</v>
      </c>
      <c r="C465">
        <v>78.34</v>
      </c>
      <c r="D465">
        <v>511.95400000000001</v>
      </c>
      <c r="E465">
        <v>345.96600000000001</v>
      </c>
      <c r="F465">
        <v>2.4860000000000002</v>
      </c>
      <c r="G465">
        <v>79.209999999999994</v>
      </c>
      <c r="H465">
        <v>77.626999999999995</v>
      </c>
      <c r="I465">
        <v>5.2320000000000002</v>
      </c>
      <c r="J465">
        <v>8.4009999999999998</v>
      </c>
      <c r="K465">
        <v>53764.961000000003</v>
      </c>
      <c r="L465">
        <v>22.02</v>
      </c>
      <c r="N465">
        <v>283.62004499999995</v>
      </c>
      <c r="O465">
        <v>353.24744999999996</v>
      </c>
      <c r="P465">
        <v>901.29939200000001</v>
      </c>
      <c r="Q465">
        <v>710.74516799999992</v>
      </c>
      <c r="R465">
        <f t="shared" si="73"/>
        <v>1.7239069311041078</v>
      </c>
      <c r="S465">
        <v>1.6658113526836626</v>
      </c>
      <c r="T465">
        <v>69.62740500000001</v>
      </c>
      <c r="U465">
        <v>190.55422400000009</v>
      </c>
      <c r="V465">
        <v>548.05194200000005</v>
      </c>
      <c r="W465">
        <v>0.22064846364507557</v>
      </c>
      <c r="Y465">
        <f t="shared" si="74"/>
        <v>1.7663948008813661</v>
      </c>
      <c r="AE465">
        <f t="shared" si="75"/>
        <v>1.2609341877634561</v>
      </c>
      <c r="AG465">
        <f t="shared" si="76"/>
        <v>0</v>
      </c>
    </row>
    <row r="466" spans="1:33" x14ac:dyDescent="0.25">
      <c r="A466">
        <v>485.83800000000002</v>
      </c>
      <c r="B466">
        <v>8.9139999999999997</v>
      </c>
      <c r="C466">
        <v>78.290000000000006</v>
      </c>
      <c r="D466">
        <v>511.63400000000001</v>
      </c>
      <c r="E466">
        <v>346.41800000000001</v>
      </c>
      <c r="F466">
        <v>2.4950000000000001</v>
      </c>
      <c r="G466">
        <v>79.254000000000005</v>
      </c>
      <c r="H466">
        <v>77.683999999999997</v>
      </c>
      <c r="I466">
        <v>5.2240000000000002</v>
      </c>
      <c r="J466">
        <v>8.2200000000000006</v>
      </c>
      <c r="K466">
        <v>53763.262999999999</v>
      </c>
      <c r="L466">
        <v>21.597999999999999</v>
      </c>
      <c r="N466">
        <v>283.47431999999992</v>
      </c>
      <c r="O466">
        <v>353.19719999999995</v>
      </c>
      <c r="P466">
        <v>900.93203199999994</v>
      </c>
      <c r="Q466">
        <v>711.26406399999996</v>
      </c>
      <c r="R466">
        <f t="shared" si="73"/>
        <v>1.7241756686636163</v>
      </c>
      <c r="S466">
        <v>1.6664581877046465</v>
      </c>
      <c r="T466">
        <v>69.722880000000032</v>
      </c>
      <c r="U466">
        <v>189.66796799999997</v>
      </c>
      <c r="V466">
        <v>547.73483199999998</v>
      </c>
      <c r="W466">
        <v>0.21898386042390663</v>
      </c>
      <c r="Y466">
        <f t="shared" si="74"/>
        <v>1.7576426526072493</v>
      </c>
      <c r="AE466">
        <f t="shared" si="75"/>
        <v>1.2609341877634561</v>
      </c>
      <c r="AG466">
        <f t="shared" si="76"/>
        <v>0</v>
      </c>
    </row>
    <row r="467" spans="1:33" x14ac:dyDescent="0.25">
      <c r="A467">
        <v>486.83800000000002</v>
      </c>
      <c r="B467">
        <v>8.9139999999999997</v>
      </c>
      <c r="C467">
        <v>78.38</v>
      </c>
      <c r="D467">
        <v>514.60599999999999</v>
      </c>
      <c r="E467">
        <v>346.28</v>
      </c>
      <c r="F467">
        <v>2.492</v>
      </c>
      <c r="G467">
        <v>79.373000000000005</v>
      </c>
      <c r="H467">
        <v>77.745999999999995</v>
      </c>
      <c r="I467">
        <v>5.1070000000000002</v>
      </c>
      <c r="J467">
        <v>7.8739999999999997</v>
      </c>
      <c r="K467">
        <v>53780.561999999998</v>
      </c>
      <c r="L467">
        <v>22.321999999999999</v>
      </c>
      <c r="N467">
        <v>283.47431999999992</v>
      </c>
      <c r="O467">
        <v>353.28764999999993</v>
      </c>
      <c r="P467">
        <v>904.34388799999988</v>
      </c>
      <c r="Q467">
        <v>711.10563999999988</v>
      </c>
      <c r="R467">
        <f t="shared" si="73"/>
        <v>1.7253471960147935</v>
      </c>
      <c r="S467">
        <v>1.6688242930934469</v>
      </c>
      <c r="T467">
        <v>69.813330000000008</v>
      </c>
      <c r="U467">
        <v>193.238248</v>
      </c>
      <c r="V467">
        <v>551.05623799999989</v>
      </c>
      <c r="W467">
        <v>0.22397880558971189</v>
      </c>
      <c r="Y467">
        <f t="shared" si="74"/>
        <v>1.7793383632445321</v>
      </c>
      <c r="AE467">
        <f t="shared" si="75"/>
        <v>1.2609341877634561</v>
      </c>
      <c r="AG467">
        <f t="shared" si="76"/>
        <v>0</v>
      </c>
    </row>
    <row r="468" spans="1:33" x14ac:dyDescent="0.25">
      <c r="A468">
        <v>487.83800000000002</v>
      </c>
      <c r="B468">
        <v>8.8689999999999998</v>
      </c>
      <c r="C468">
        <v>78.33</v>
      </c>
      <c r="D468">
        <v>517.50900000000001</v>
      </c>
      <c r="E468">
        <v>345.84100000000001</v>
      </c>
      <c r="F468">
        <v>2.5009999999999999</v>
      </c>
      <c r="G468">
        <v>79.283000000000001</v>
      </c>
      <c r="H468">
        <v>77.691999999999993</v>
      </c>
      <c r="I468">
        <v>5.2770000000000001</v>
      </c>
      <c r="J468">
        <v>7.7229999999999999</v>
      </c>
      <c r="K468">
        <v>53809.2</v>
      </c>
      <c r="L468">
        <v>21.361999999999998</v>
      </c>
      <c r="N468">
        <v>283.42909499999996</v>
      </c>
      <c r="O468">
        <v>353.23739999999992</v>
      </c>
      <c r="P468">
        <v>907.67653199999995</v>
      </c>
      <c r="Q468">
        <v>710.6016679999999</v>
      </c>
      <c r="R468">
        <f t="shared" si="73"/>
        <v>1.7243516570598392</v>
      </c>
      <c r="S468">
        <v>1.6657197753201505</v>
      </c>
      <c r="T468">
        <v>69.808304999999962</v>
      </c>
      <c r="U468">
        <v>197.07486400000005</v>
      </c>
      <c r="V468">
        <v>554.43913199999997</v>
      </c>
      <c r="W468">
        <v>0.22954108333031603</v>
      </c>
      <c r="Y468">
        <f t="shared" si="74"/>
        <v>1.8141879360548328</v>
      </c>
      <c r="AE468">
        <f t="shared" si="75"/>
        <v>1.2609341877634561</v>
      </c>
      <c r="AG468">
        <f t="shared" si="76"/>
        <v>0</v>
      </c>
    </row>
    <row r="469" spans="1:33" x14ac:dyDescent="0.25">
      <c r="A469">
        <v>488.83800000000002</v>
      </c>
      <c r="B469">
        <v>8.9909999999999997</v>
      </c>
      <c r="C469">
        <v>78.322000000000003</v>
      </c>
      <c r="D469">
        <v>517.46900000000005</v>
      </c>
      <c r="E469">
        <v>346.30399999999997</v>
      </c>
      <c r="F469">
        <v>2.5099999999999998</v>
      </c>
      <c r="G469">
        <v>79.629000000000005</v>
      </c>
      <c r="H469">
        <v>78.081000000000003</v>
      </c>
      <c r="I469">
        <v>5.07</v>
      </c>
      <c r="J469">
        <v>7.0410000000000004</v>
      </c>
      <c r="K469">
        <v>53826.392999999996</v>
      </c>
      <c r="L469">
        <v>21.251999999999999</v>
      </c>
      <c r="N469">
        <v>283.55170499999991</v>
      </c>
      <c r="O469">
        <v>353.22935999999993</v>
      </c>
      <c r="P469">
        <v>907.63061199999993</v>
      </c>
      <c r="Q469">
        <v>711.13319199999989</v>
      </c>
      <c r="R469">
        <f t="shared" si="73"/>
        <v>1.7274691066880483</v>
      </c>
      <c r="S469">
        <v>1.672478585244543</v>
      </c>
      <c r="T469">
        <v>69.677655000000016</v>
      </c>
      <c r="U469">
        <v>196.49742000000003</v>
      </c>
      <c r="V469">
        <v>554.401252</v>
      </c>
      <c r="W469">
        <v>0.22875086328268252</v>
      </c>
      <c r="Y469">
        <f t="shared" si="74"/>
        <v>1.7956095359209634</v>
      </c>
      <c r="AE469">
        <f t="shared" si="75"/>
        <v>1.2609341877634561</v>
      </c>
      <c r="AG469">
        <f t="shared" si="76"/>
        <v>0</v>
      </c>
    </row>
    <row r="470" spans="1:33" x14ac:dyDescent="0.25">
      <c r="A470">
        <v>489.83800000000002</v>
      </c>
      <c r="B470">
        <v>9.0030000000000001</v>
      </c>
      <c r="C470">
        <v>78.396000000000001</v>
      </c>
      <c r="D470">
        <v>519.41899999999998</v>
      </c>
      <c r="E470">
        <v>346.44400000000002</v>
      </c>
      <c r="F470">
        <v>2.496</v>
      </c>
      <c r="G470">
        <v>79.771000000000001</v>
      </c>
      <c r="H470">
        <v>78.200999999999993</v>
      </c>
      <c r="I470">
        <v>5.3010000000000002</v>
      </c>
      <c r="J470">
        <v>7.5330000000000004</v>
      </c>
      <c r="K470">
        <v>53844.129000000001</v>
      </c>
      <c r="L470">
        <v>21.905000000000001</v>
      </c>
      <c r="N470">
        <v>283.56376499999993</v>
      </c>
      <c r="O470">
        <v>353.30372999999997</v>
      </c>
      <c r="P470">
        <v>909.86921199999983</v>
      </c>
      <c r="Q470">
        <v>711.29391199999998</v>
      </c>
      <c r="R470">
        <f t="shared" si="73"/>
        <v>1.7290369447903697</v>
      </c>
      <c r="S470">
        <v>1.6700306063363388</v>
      </c>
      <c r="T470">
        <v>69.739965000000041</v>
      </c>
      <c r="U470">
        <v>198.57529999999986</v>
      </c>
      <c r="V470">
        <v>556.56548199999986</v>
      </c>
      <c r="W470">
        <v>0.23148279792170051</v>
      </c>
      <c r="Y470">
        <f t="shared" si="74"/>
        <v>1.8149778466419957</v>
      </c>
      <c r="AE470">
        <f t="shared" si="75"/>
        <v>1.2609341877634561</v>
      </c>
      <c r="AG470">
        <f t="shared" si="76"/>
        <v>0</v>
      </c>
    </row>
    <row r="471" spans="1:33" x14ac:dyDescent="0.25">
      <c r="A471">
        <v>490.839</v>
      </c>
      <c r="B471">
        <v>8.9329999999999998</v>
      </c>
      <c r="C471">
        <v>78.447000000000003</v>
      </c>
      <c r="D471">
        <v>519.03</v>
      </c>
      <c r="E471">
        <v>346.351</v>
      </c>
      <c r="F471">
        <v>2.5270000000000001</v>
      </c>
      <c r="G471">
        <v>79.754000000000005</v>
      </c>
      <c r="H471">
        <v>78.105000000000004</v>
      </c>
      <c r="I471">
        <v>5.25</v>
      </c>
      <c r="J471">
        <v>7.5709999999999997</v>
      </c>
      <c r="K471">
        <v>53859.463000000003</v>
      </c>
      <c r="L471">
        <v>21.329000000000001</v>
      </c>
      <c r="N471">
        <v>283.49341499999991</v>
      </c>
      <c r="O471">
        <v>353.35498499999994</v>
      </c>
      <c r="P471">
        <v>909.42263999999989</v>
      </c>
      <c r="Q471">
        <v>711.18714799999987</v>
      </c>
      <c r="R471">
        <f t="shared" si="73"/>
        <v>1.7283710752921426</v>
      </c>
      <c r="S471">
        <v>1.6699310344827587</v>
      </c>
      <c r="T471">
        <v>69.861570000000029</v>
      </c>
      <c r="U471">
        <v>198.23549200000002</v>
      </c>
      <c r="V471">
        <v>556.06765499999995</v>
      </c>
      <c r="W471">
        <v>0.23086025746273628</v>
      </c>
      <c r="Y471">
        <f t="shared" si="74"/>
        <v>1.8129592897930529</v>
      </c>
      <c r="AE471">
        <f t="shared" si="75"/>
        <v>1.2609341877634561</v>
      </c>
      <c r="AG471">
        <f t="shared" si="76"/>
        <v>0</v>
      </c>
    </row>
    <row r="472" spans="1:33" x14ac:dyDescent="0.25">
      <c r="A472">
        <v>491.839</v>
      </c>
      <c r="B472">
        <v>8.798</v>
      </c>
      <c r="C472">
        <v>78.498000000000005</v>
      </c>
      <c r="D472">
        <v>519.71799999999996</v>
      </c>
      <c r="E472">
        <v>346.22399999999999</v>
      </c>
      <c r="F472">
        <v>2.5169999999999999</v>
      </c>
      <c r="G472">
        <v>79.713999999999999</v>
      </c>
      <c r="H472">
        <v>78.227999999999994</v>
      </c>
      <c r="I472">
        <v>5.33</v>
      </c>
      <c r="J472">
        <v>7.4950000000000001</v>
      </c>
      <c r="K472">
        <v>53862.771000000001</v>
      </c>
      <c r="L472">
        <v>21.361999999999998</v>
      </c>
      <c r="N472">
        <v>283.35773999999992</v>
      </c>
      <c r="O472">
        <v>353.40623999999991</v>
      </c>
      <c r="P472">
        <v>910.21246399999984</v>
      </c>
      <c r="Q472">
        <v>711.04135199999996</v>
      </c>
      <c r="R472">
        <f t="shared" si="73"/>
        <v>1.728156805040701</v>
      </c>
      <c r="S472">
        <v>1.6698336855646423</v>
      </c>
      <c r="T472">
        <v>70.04849999999999</v>
      </c>
      <c r="U472">
        <v>199.17111199999988</v>
      </c>
      <c r="V472">
        <v>556.80622399999993</v>
      </c>
      <c r="W472">
        <v>0.23189865061565818</v>
      </c>
      <c r="Y472">
        <f t="shared" si="74"/>
        <v>1.8201293481704621</v>
      </c>
      <c r="AE472">
        <f t="shared" si="75"/>
        <v>1.2609341877634561</v>
      </c>
      <c r="AG472">
        <f t="shared" si="76"/>
        <v>0</v>
      </c>
    </row>
    <row r="473" spans="1:33" x14ac:dyDescent="0.25">
      <c r="A473">
        <v>492.839</v>
      </c>
      <c r="B473">
        <v>8.6180000000000003</v>
      </c>
      <c r="C473">
        <v>78.527000000000001</v>
      </c>
      <c r="D473">
        <v>517.07899999999995</v>
      </c>
      <c r="E473">
        <v>346.58800000000002</v>
      </c>
      <c r="F473">
        <v>2.4980000000000002</v>
      </c>
      <c r="G473">
        <v>79.075000000000003</v>
      </c>
      <c r="H473">
        <v>77.631</v>
      </c>
      <c r="I473">
        <v>5.3120000000000003</v>
      </c>
      <c r="J473">
        <v>7.75</v>
      </c>
      <c r="K473">
        <v>53871.53</v>
      </c>
      <c r="L473">
        <v>22.113</v>
      </c>
      <c r="N473">
        <v>283.17683999999997</v>
      </c>
      <c r="O473">
        <v>353.43538499999994</v>
      </c>
      <c r="P473">
        <v>907.18289199999981</v>
      </c>
      <c r="Q473">
        <v>711.45922400000006</v>
      </c>
      <c r="R473">
        <f t="shared" si="73"/>
        <v>1.7224381592105509</v>
      </c>
      <c r="S473">
        <v>1.66462338712642</v>
      </c>
      <c r="T473">
        <v>70.25854499999997</v>
      </c>
      <c r="U473">
        <v>195.72366799999975</v>
      </c>
      <c r="V473">
        <v>553.74750699999981</v>
      </c>
      <c r="W473">
        <v>0.22657460559908185</v>
      </c>
      <c r="Y473">
        <f t="shared" si="74"/>
        <v>1.8049137219306404</v>
      </c>
      <c r="AE473">
        <f t="shared" si="75"/>
        <v>1.2609341877634561</v>
      </c>
      <c r="AG473">
        <f t="shared" si="76"/>
        <v>0</v>
      </c>
    </row>
    <row r="474" spans="1:33" x14ac:dyDescent="0.25">
      <c r="A474">
        <v>493.839</v>
      </c>
      <c r="B474">
        <v>8.5340000000000007</v>
      </c>
      <c r="C474">
        <v>78.587999999999994</v>
      </c>
      <c r="D474">
        <v>514.85699999999997</v>
      </c>
      <c r="E474">
        <v>346.19799999999998</v>
      </c>
      <c r="F474">
        <v>2.4649999999999999</v>
      </c>
      <c r="G474">
        <v>79.233000000000004</v>
      </c>
      <c r="H474">
        <v>77.596000000000004</v>
      </c>
      <c r="I474">
        <v>5.66</v>
      </c>
      <c r="J474">
        <v>7.4960000000000004</v>
      </c>
      <c r="K474">
        <v>53832.249000000003</v>
      </c>
      <c r="L474">
        <v>21.876999999999999</v>
      </c>
      <c r="N474">
        <v>283.09241999999995</v>
      </c>
      <c r="O474">
        <v>353.49668999999989</v>
      </c>
      <c r="P474">
        <v>904.63203599999986</v>
      </c>
      <c r="Q474">
        <v>711.01150399999995</v>
      </c>
      <c r="R474">
        <f t="shared" si="73"/>
        <v>1.7244656254423629</v>
      </c>
      <c r="S474">
        <v>1.6589959692194944</v>
      </c>
      <c r="T474">
        <v>70.40426999999994</v>
      </c>
      <c r="U474">
        <v>193.62053199999991</v>
      </c>
      <c r="V474">
        <v>551.13534600000003</v>
      </c>
      <c r="W474">
        <v>0.22356806344262298</v>
      </c>
      <c r="Y474">
        <f t="shared" si="74"/>
        <v>1.8017857035828724</v>
      </c>
      <c r="AE474">
        <f t="shared" si="75"/>
        <v>1.2609341877634561</v>
      </c>
      <c r="AG474">
        <f t="shared" si="76"/>
        <v>0</v>
      </c>
    </row>
    <row r="475" spans="1:33" x14ac:dyDescent="0.25">
      <c r="A475">
        <v>494.839</v>
      </c>
      <c r="B475">
        <v>8.5090000000000003</v>
      </c>
      <c r="C475">
        <v>78.552000000000007</v>
      </c>
      <c r="D475">
        <v>512.72799999999995</v>
      </c>
      <c r="E475">
        <v>346.37400000000002</v>
      </c>
      <c r="F475">
        <v>2.516</v>
      </c>
      <c r="G475">
        <v>79.244</v>
      </c>
      <c r="H475">
        <v>77.715999999999994</v>
      </c>
      <c r="I475">
        <v>5.391</v>
      </c>
      <c r="J475">
        <v>8.3279999999999994</v>
      </c>
      <c r="K475">
        <v>53811.82</v>
      </c>
      <c r="L475">
        <v>21.547999999999998</v>
      </c>
      <c r="N475">
        <v>283.06729499999994</v>
      </c>
      <c r="O475">
        <v>353.46050999999994</v>
      </c>
      <c r="P475">
        <v>902.1879439999999</v>
      </c>
      <c r="Q475">
        <v>711.21355199999994</v>
      </c>
      <c r="R475">
        <f t="shared" si="73"/>
        <v>1.7237398128584365</v>
      </c>
      <c r="S475">
        <v>1.6641963063981413</v>
      </c>
      <c r="T475">
        <v>70.393214999999998</v>
      </c>
      <c r="U475">
        <v>190.97439199999997</v>
      </c>
      <c r="V475">
        <v>548.7274339999999</v>
      </c>
      <c r="W475">
        <v>0.21974694452765411</v>
      </c>
      <c r="Y475">
        <f t="shared" si="74"/>
        <v>1.7717040501619412</v>
      </c>
      <c r="AE475">
        <f t="shared" si="75"/>
        <v>1.2609341877634561</v>
      </c>
      <c r="AG475">
        <f t="shared" si="76"/>
        <v>0</v>
      </c>
    </row>
    <row r="476" spans="1:33" x14ac:dyDescent="0.25">
      <c r="A476">
        <v>495.839</v>
      </c>
      <c r="B476">
        <v>8.4719999999999995</v>
      </c>
      <c r="C476">
        <v>78.563000000000002</v>
      </c>
      <c r="D476">
        <v>512.92200000000003</v>
      </c>
      <c r="E476">
        <v>345.81</v>
      </c>
      <c r="F476">
        <v>2.504</v>
      </c>
      <c r="G476">
        <v>79.58</v>
      </c>
      <c r="H476">
        <v>78.051000000000002</v>
      </c>
      <c r="I476">
        <v>5.1689999999999996</v>
      </c>
      <c r="J476">
        <v>7.306</v>
      </c>
      <c r="K476">
        <v>53808.553</v>
      </c>
      <c r="L476">
        <v>21.68</v>
      </c>
      <c r="N476">
        <v>283.03010999999992</v>
      </c>
      <c r="O476">
        <v>353.47156499999994</v>
      </c>
      <c r="P476">
        <v>902.4106559999999</v>
      </c>
      <c r="Q476">
        <v>710.56607999999994</v>
      </c>
      <c r="R476">
        <f t="shared" si="73"/>
        <v>1.7271046375608465</v>
      </c>
      <c r="S476">
        <v>1.6706788504541312</v>
      </c>
      <c r="T476">
        <v>70.441455000000019</v>
      </c>
      <c r="U476">
        <v>191.84457599999996</v>
      </c>
      <c r="V476">
        <v>548.93909099999996</v>
      </c>
      <c r="W476">
        <v>0.22115954755351891</v>
      </c>
      <c r="Y476">
        <f t="shared" si="74"/>
        <v>1.7666985802132433</v>
      </c>
      <c r="AE476">
        <f t="shared" si="75"/>
        <v>1.2609341877634561</v>
      </c>
      <c r="AG476">
        <f t="shared" si="76"/>
        <v>0</v>
      </c>
    </row>
    <row r="477" spans="1:33" x14ac:dyDescent="0.25">
      <c r="A477">
        <v>496.839</v>
      </c>
      <c r="B477">
        <v>8.5809999999999995</v>
      </c>
      <c r="C477">
        <v>78.671000000000006</v>
      </c>
      <c r="D477">
        <v>515.09900000000005</v>
      </c>
      <c r="E477">
        <v>346.04</v>
      </c>
      <c r="F477">
        <v>2.508</v>
      </c>
      <c r="G477">
        <v>79.629000000000005</v>
      </c>
      <c r="H477">
        <v>78.156999999999996</v>
      </c>
      <c r="I477">
        <v>5.149</v>
      </c>
      <c r="J477">
        <v>7.6470000000000002</v>
      </c>
      <c r="K477">
        <v>53832.451000000001</v>
      </c>
      <c r="L477">
        <v>20.681999999999999</v>
      </c>
      <c r="N477">
        <v>283.13965499999995</v>
      </c>
      <c r="O477">
        <v>353.58010499999995</v>
      </c>
      <c r="P477">
        <v>904.909852</v>
      </c>
      <c r="Q477">
        <v>710.83011999999997</v>
      </c>
      <c r="R477">
        <f t="shared" si="73"/>
        <v>1.7275016979850579</v>
      </c>
      <c r="S477">
        <v>1.6719620060930149</v>
      </c>
      <c r="T477">
        <v>70.440449999999998</v>
      </c>
      <c r="U477">
        <v>194.07973200000004</v>
      </c>
      <c r="V477">
        <v>551.329747</v>
      </c>
      <c r="W477">
        <v>0.2242565047011694</v>
      </c>
      <c r="Y477">
        <f t="shared" si="74"/>
        <v>1.7798507717773588</v>
      </c>
      <c r="AE477">
        <f t="shared" si="75"/>
        <v>1.2609341877634561</v>
      </c>
      <c r="AG477">
        <f t="shared" si="76"/>
        <v>0</v>
      </c>
    </row>
    <row r="478" spans="1:33" x14ac:dyDescent="0.25">
      <c r="A478">
        <v>497.839</v>
      </c>
      <c r="B478">
        <v>8.5510000000000002</v>
      </c>
      <c r="C478">
        <v>78.728999999999999</v>
      </c>
      <c r="D478">
        <v>514.755</v>
      </c>
      <c r="E478">
        <v>346.50900000000001</v>
      </c>
      <c r="F478">
        <v>2.5089999999999999</v>
      </c>
      <c r="G478">
        <v>79.497</v>
      </c>
      <c r="H478">
        <v>77.923000000000002</v>
      </c>
      <c r="I478">
        <v>5.2240000000000002</v>
      </c>
      <c r="J478">
        <v>7.609</v>
      </c>
      <c r="K478">
        <v>53837.553999999996</v>
      </c>
      <c r="L478">
        <v>21.334</v>
      </c>
      <c r="N478">
        <v>283.10950499999996</v>
      </c>
      <c r="O478">
        <v>353.63839499999995</v>
      </c>
      <c r="P478">
        <v>904.51493999999991</v>
      </c>
      <c r="Q478">
        <v>711.36853199999996</v>
      </c>
      <c r="R478">
        <f t="shared" si="73"/>
        <v>1.7262402248865663</v>
      </c>
      <c r="S478">
        <v>1.6686564144071225</v>
      </c>
      <c r="T478">
        <v>70.52888999999999</v>
      </c>
      <c r="U478">
        <v>193.14640799999995</v>
      </c>
      <c r="V478">
        <v>550.87654499999996</v>
      </c>
      <c r="W478">
        <v>0.2225862021408081</v>
      </c>
      <c r="Y478">
        <f t="shared" si="74"/>
        <v>1.7784838734325636</v>
      </c>
      <c r="AE478">
        <f t="shared" si="75"/>
        <v>1.2609341877634561</v>
      </c>
      <c r="AG478">
        <f t="shared" si="76"/>
        <v>0</v>
      </c>
    </row>
    <row r="479" spans="1:33" x14ac:dyDescent="0.25">
      <c r="A479">
        <v>498.839</v>
      </c>
      <c r="B479">
        <v>8.6180000000000003</v>
      </c>
      <c r="C479">
        <v>78.802000000000007</v>
      </c>
      <c r="D479">
        <v>514.95899999999995</v>
      </c>
      <c r="E479">
        <v>346.78899999999999</v>
      </c>
      <c r="F479">
        <v>2.4870000000000001</v>
      </c>
      <c r="G479">
        <v>79.165000000000006</v>
      </c>
      <c r="H479">
        <v>77.662999999999997</v>
      </c>
      <c r="I479">
        <v>5.14</v>
      </c>
      <c r="J479">
        <v>7.7919999999999998</v>
      </c>
      <c r="K479">
        <v>53843.385000000002</v>
      </c>
      <c r="L479">
        <v>21.597999999999999</v>
      </c>
      <c r="N479">
        <v>283.17683999999997</v>
      </c>
      <c r="O479">
        <v>353.71175999999997</v>
      </c>
      <c r="P479">
        <v>904.7491319999998</v>
      </c>
      <c r="Q479">
        <v>711.6899719999999</v>
      </c>
      <c r="R479">
        <f t="shared" si="73"/>
        <v>1.7234660854633119</v>
      </c>
      <c r="S479">
        <v>1.6675533873343154</v>
      </c>
      <c r="T479">
        <v>70.53492</v>
      </c>
      <c r="U479">
        <v>193.05915999999991</v>
      </c>
      <c r="V479">
        <v>551.03737199999978</v>
      </c>
      <c r="W479">
        <v>0.22235196054905684</v>
      </c>
      <c r="Y479">
        <f t="shared" si="74"/>
        <v>1.7793746644994715</v>
      </c>
      <c r="AE479">
        <f t="shared" si="75"/>
        <v>1.2609341877634561</v>
      </c>
      <c r="AG479">
        <f t="shared" si="76"/>
        <v>0</v>
      </c>
    </row>
    <row r="480" spans="1:33" x14ac:dyDescent="0.25">
      <c r="A480">
        <v>499.839</v>
      </c>
      <c r="B480">
        <v>8.7550000000000008</v>
      </c>
      <c r="C480">
        <v>78.793000000000006</v>
      </c>
      <c r="D480">
        <v>517.36699999999996</v>
      </c>
      <c r="E480">
        <v>346.21800000000002</v>
      </c>
      <c r="F480">
        <v>2.508</v>
      </c>
      <c r="G480">
        <v>79.563999999999993</v>
      </c>
      <c r="H480">
        <v>77.912999999999997</v>
      </c>
      <c r="I480">
        <v>5.24</v>
      </c>
      <c r="J480">
        <v>7.5250000000000004</v>
      </c>
      <c r="K480">
        <v>53853.737000000001</v>
      </c>
      <c r="L480">
        <v>21.949000000000002</v>
      </c>
      <c r="N480">
        <v>283.31452499999995</v>
      </c>
      <c r="O480">
        <v>353.70271499999996</v>
      </c>
      <c r="P480">
        <v>907.51351599999987</v>
      </c>
      <c r="Q480">
        <v>711.03446399999984</v>
      </c>
      <c r="R480">
        <f t="shared" si="73"/>
        <v>1.7268885367142102</v>
      </c>
      <c r="S480">
        <v>1.6683189258782418</v>
      </c>
      <c r="T480">
        <v>70.388190000000009</v>
      </c>
      <c r="U480">
        <v>196.47905200000002</v>
      </c>
      <c r="V480">
        <v>553.81080099999986</v>
      </c>
      <c r="W480">
        <v>0.22767858946109656</v>
      </c>
      <c r="Y480">
        <f t="shared" si="74"/>
        <v>1.8038609409059907</v>
      </c>
      <c r="AE480">
        <f t="shared" si="75"/>
        <v>1.2609341877634561</v>
      </c>
      <c r="AG480">
        <f t="shared" si="76"/>
        <v>0</v>
      </c>
    </row>
    <row r="481" spans="1:33" x14ac:dyDescent="0.25">
      <c r="A481">
        <v>500.839</v>
      </c>
      <c r="B481">
        <v>8.8170000000000002</v>
      </c>
      <c r="C481">
        <v>78.724999999999994</v>
      </c>
      <c r="D481">
        <v>516.62599999999998</v>
      </c>
      <c r="E481">
        <v>346.36</v>
      </c>
      <c r="F481">
        <v>2.5169999999999999</v>
      </c>
      <c r="G481">
        <v>79.561000000000007</v>
      </c>
      <c r="H481">
        <v>78.117999999999995</v>
      </c>
      <c r="I481">
        <v>5.3680000000000003</v>
      </c>
      <c r="J481">
        <v>8.1389999999999993</v>
      </c>
      <c r="K481">
        <v>53862.082999999999</v>
      </c>
      <c r="L481">
        <v>22.349</v>
      </c>
      <c r="N481">
        <v>283.37683499999997</v>
      </c>
      <c r="O481">
        <v>353.63437499999998</v>
      </c>
      <c r="P481">
        <v>906.66284799999983</v>
      </c>
      <c r="Q481">
        <v>711.19747999999993</v>
      </c>
      <c r="R481">
        <f t="shared" si="73"/>
        <v>1.7267136402652405</v>
      </c>
      <c r="S481">
        <v>1.6682404379615681</v>
      </c>
      <c r="T481">
        <v>70.257540000000006</v>
      </c>
      <c r="U481">
        <v>195.4653679999999</v>
      </c>
      <c r="V481">
        <v>553.02847299999985</v>
      </c>
      <c r="W481">
        <v>0.22640394502798036</v>
      </c>
      <c r="Y481">
        <f t="shared" si="74"/>
        <v>1.7963928977944714</v>
      </c>
      <c r="AE481">
        <f t="shared" si="75"/>
        <v>1.2609341877634561</v>
      </c>
      <c r="AG481">
        <f t="shared" si="76"/>
        <v>0</v>
      </c>
    </row>
    <row r="482" spans="1:33" x14ac:dyDescent="0.25">
      <c r="A482">
        <v>501.839</v>
      </c>
      <c r="B482">
        <v>8.8780000000000001</v>
      </c>
      <c r="C482">
        <v>78.709999999999994</v>
      </c>
      <c r="D482">
        <v>517.053</v>
      </c>
      <c r="E482">
        <v>346.68400000000003</v>
      </c>
      <c r="F482">
        <v>2.5289999999999999</v>
      </c>
      <c r="G482">
        <v>79.400000000000006</v>
      </c>
      <c r="H482">
        <v>77.875</v>
      </c>
      <c r="I482">
        <v>5.1280000000000001</v>
      </c>
      <c r="J482">
        <v>7.4960000000000004</v>
      </c>
      <c r="K482">
        <v>53877.813999999998</v>
      </c>
      <c r="L482">
        <v>21.268000000000001</v>
      </c>
      <c r="N482">
        <v>283.43813999999992</v>
      </c>
      <c r="O482">
        <v>353.6192999999999</v>
      </c>
      <c r="P482">
        <v>907.15304399999991</v>
      </c>
      <c r="Q482">
        <v>711.56943200000001</v>
      </c>
      <c r="R482">
        <f t="shared" si="73"/>
        <v>1.7249997642154506</v>
      </c>
      <c r="S482">
        <v>1.6696892145671467</v>
      </c>
      <c r="T482">
        <v>70.181159999999977</v>
      </c>
      <c r="U482">
        <v>195.5836119999999</v>
      </c>
      <c r="V482">
        <v>553.53374400000007</v>
      </c>
      <c r="W482">
        <v>0.22654888407309079</v>
      </c>
      <c r="Y482">
        <f t="shared" si="74"/>
        <v>1.7936565280354317</v>
      </c>
      <c r="AE482">
        <f t="shared" si="75"/>
        <v>1.2609341877634561</v>
      </c>
      <c r="AG482">
        <f t="shared" si="76"/>
        <v>0</v>
      </c>
    </row>
    <row r="483" spans="1:33" x14ac:dyDescent="0.25">
      <c r="A483">
        <v>502.839</v>
      </c>
      <c r="B483">
        <v>8.9879999999999995</v>
      </c>
      <c r="C483">
        <v>78.78</v>
      </c>
      <c r="D483">
        <v>517.20600000000002</v>
      </c>
      <c r="E483">
        <v>346.74099999999999</v>
      </c>
      <c r="F483">
        <v>2.5249999999999999</v>
      </c>
      <c r="G483">
        <v>79.590999999999994</v>
      </c>
      <c r="H483">
        <v>77.989000000000004</v>
      </c>
      <c r="I483">
        <v>5.4029999999999996</v>
      </c>
      <c r="J483">
        <v>7.0789999999999997</v>
      </c>
      <c r="K483">
        <v>53879.302000000003</v>
      </c>
      <c r="L483">
        <v>21.236000000000001</v>
      </c>
      <c r="N483">
        <v>283.54868999999997</v>
      </c>
      <c r="O483">
        <v>353.68964999999992</v>
      </c>
      <c r="P483">
        <v>907.32868799999994</v>
      </c>
      <c r="Q483">
        <v>711.63486799999987</v>
      </c>
      <c r="R483">
        <f t="shared" si="73"/>
        <v>1.7268663051167177</v>
      </c>
      <c r="S483">
        <v>1.6665197469307549</v>
      </c>
      <c r="T483">
        <v>70.14095999999995</v>
      </c>
      <c r="U483">
        <v>195.69382000000007</v>
      </c>
      <c r="V483">
        <v>553.63903800000003</v>
      </c>
      <c r="W483">
        <v>0.22677746940236559</v>
      </c>
      <c r="Y483">
        <f t="shared" si="74"/>
        <v>1.8005767477764112</v>
      </c>
      <c r="AE483">
        <f t="shared" si="75"/>
        <v>1.2609341877634561</v>
      </c>
      <c r="AG483">
        <f t="shared" si="76"/>
        <v>0</v>
      </c>
    </row>
    <row r="484" spans="1:33" x14ac:dyDescent="0.25">
      <c r="A484">
        <v>503.839</v>
      </c>
      <c r="B484">
        <v>9.0939999999999994</v>
      </c>
      <c r="C484">
        <v>78.727999999999994</v>
      </c>
      <c r="D484">
        <v>516.27099999999996</v>
      </c>
      <c r="E484">
        <v>346.69900000000001</v>
      </c>
      <c r="F484">
        <v>2.532</v>
      </c>
      <c r="G484">
        <v>79.233000000000004</v>
      </c>
      <c r="H484">
        <v>77.608000000000004</v>
      </c>
      <c r="I484">
        <v>5.3819999999999997</v>
      </c>
      <c r="J484">
        <v>7.8739999999999997</v>
      </c>
      <c r="K484">
        <v>53891.642999999996</v>
      </c>
      <c r="L484">
        <v>21.553999999999998</v>
      </c>
      <c r="N484">
        <v>283.65521999999993</v>
      </c>
      <c r="O484">
        <v>353.63738999999993</v>
      </c>
      <c r="P484">
        <v>906.2553079999999</v>
      </c>
      <c r="Q484">
        <v>711.58665199999984</v>
      </c>
      <c r="R484">
        <f t="shared" si="73"/>
        <v>1.7233759619737439</v>
      </c>
      <c r="S484">
        <v>1.6633419665325766</v>
      </c>
      <c r="T484">
        <v>69.982169999999996</v>
      </c>
      <c r="U484">
        <v>194.66865600000006</v>
      </c>
      <c r="V484">
        <v>552.61791799999992</v>
      </c>
      <c r="W484">
        <v>0.22562874264239849</v>
      </c>
      <c r="Y484">
        <f t="shared" si="74"/>
        <v>1.7995723888619408</v>
      </c>
      <c r="AE484">
        <f t="shared" si="75"/>
        <v>1.2609341877634561</v>
      </c>
      <c r="AG484">
        <f t="shared" si="76"/>
        <v>0</v>
      </c>
    </row>
    <row r="485" spans="1:33" x14ac:dyDescent="0.25">
      <c r="A485">
        <v>504.84</v>
      </c>
      <c r="B485">
        <v>9.1839999999999993</v>
      </c>
      <c r="C485">
        <v>78.765000000000001</v>
      </c>
      <c r="D485">
        <v>513.66899999999998</v>
      </c>
      <c r="E485">
        <v>347.59399999999999</v>
      </c>
      <c r="F485">
        <v>2.476</v>
      </c>
      <c r="G485">
        <v>79.266000000000005</v>
      </c>
      <c r="H485">
        <v>77.795000000000002</v>
      </c>
      <c r="I485">
        <v>5.1230000000000002</v>
      </c>
      <c r="J485">
        <v>7.4960000000000004</v>
      </c>
      <c r="K485">
        <v>53861.152999999998</v>
      </c>
      <c r="L485">
        <v>21.745999999999999</v>
      </c>
      <c r="N485">
        <v>283.74566999999996</v>
      </c>
      <c r="O485">
        <v>353.67457499999995</v>
      </c>
      <c r="P485">
        <v>903.26821199999983</v>
      </c>
      <c r="Q485">
        <v>712.61411199999986</v>
      </c>
      <c r="R485">
        <f t="shared" si="73"/>
        <v>1.7245980221937045</v>
      </c>
      <c r="S485">
        <v>1.6690295793708516</v>
      </c>
      <c r="T485">
        <v>69.928904999999986</v>
      </c>
      <c r="U485">
        <v>190.65409999999997</v>
      </c>
      <c r="V485">
        <v>549.59363699999994</v>
      </c>
      <c r="W485">
        <v>0.21966265049753478</v>
      </c>
      <c r="Y485">
        <f t="shared" si="74"/>
        <v>1.7572385080233524</v>
      </c>
      <c r="AE485">
        <f t="shared" si="75"/>
        <v>1.2609341877634561</v>
      </c>
      <c r="AG485">
        <f t="shared" si="76"/>
        <v>0</v>
      </c>
    </row>
    <row r="486" spans="1:33" x14ac:dyDescent="0.25">
      <c r="A486">
        <v>505.84</v>
      </c>
      <c r="B486">
        <v>9.2409999999999997</v>
      </c>
      <c r="C486">
        <v>78.804000000000002</v>
      </c>
      <c r="D486">
        <v>515.10299999999995</v>
      </c>
      <c r="E486">
        <v>346.80799999999999</v>
      </c>
      <c r="F486">
        <v>2.4980000000000002</v>
      </c>
      <c r="G486">
        <v>79.260000000000005</v>
      </c>
      <c r="H486">
        <v>77.569999999999993</v>
      </c>
      <c r="I486">
        <v>5.2430000000000003</v>
      </c>
      <c r="J486">
        <v>7.7140000000000004</v>
      </c>
      <c r="K486">
        <v>53826.983999999997</v>
      </c>
      <c r="L486">
        <v>21.477</v>
      </c>
      <c r="N486">
        <v>283.80295499999994</v>
      </c>
      <c r="O486">
        <v>353.7137699999999</v>
      </c>
      <c r="P486">
        <v>904.91444399999989</v>
      </c>
      <c r="Q486">
        <v>711.71178399999997</v>
      </c>
      <c r="R486">
        <f t="shared" si="73"/>
        <v>1.7241834751599086</v>
      </c>
      <c r="S486">
        <v>1.6651186743054724</v>
      </c>
      <c r="T486">
        <v>69.910814999999957</v>
      </c>
      <c r="U486">
        <v>193.20265999999992</v>
      </c>
      <c r="V486">
        <v>551.20067399999994</v>
      </c>
      <c r="W486">
        <v>0.2236786905670583</v>
      </c>
      <c r="Y486">
        <f t="shared" si="74"/>
        <v>1.785154754086927</v>
      </c>
      <c r="AE486">
        <f t="shared" si="75"/>
        <v>1.2609341877634561</v>
      </c>
      <c r="AG486">
        <f t="shared" si="76"/>
        <v>0</v>
      </c>
    </row>
    <row r="487" spans="1:33" x14ac:dyDescent="0.25">
      <c r="A487">
        <v>506.84</v>
      </c>
      <c r="B487">
        <v>9.3140000000000001</v>
      </c>
      <c r="C487">
        <v>78.667000000000002</v>
      </c>
      <c r="D487">
        <v>514.20399999999995</v>
      </c>
      <c r="E487">
        <v>346.34</v>
      </c>
      <c r="F487">
        <v>2.4900000000000002</v>
      </c>
      <c r="G487">
        <v>78.164000000000001</v>
      </c>
      <c r="H487">
        <v>76.91</v>
      </c>
      <c r="I487">
        <v>5.1970000000000001</v>
      </c>
      <c r="J487">
        <v>7.4279999999999999</v>
      </c>
      <c r="K487">
        <v>53792.184000000001</v>
      </c>
      <c r="L487">
        <v>22.283000000000001</v>
      </c>
      <c r="N487">
        <v>283.87631999999996</v>
      </c>
      <c r="O487">
        <v>353.57608499999998</v>
      </c>
      <c r="P487">
        <v>903.88239199999987</v>
      </c>
      <c r="Q487">
        <v>711.17451999999992</v>
      </c>
      <c r="R487">
        <f t="shared" si="73"/>
        <v>1.7139730163222946</v>
      </c>
      <c r="S487">
        <v>1.6597514190824032</v>
      </c>
      <c r="T487">
        <v>69.699765000000014</v>
      </c>
      <c r="U487">
        <v>192.70787199999995</v>
      </c>
      <c r="V487">
        <v>550.30630699999983</v>
      </c>
      <c r="W487">
        <v>0.2235266167865308</v>
      </c>
      <c r="Y487">
        <f t="shared" si="74"/>
        <v>1.7932671340818496</v>
      </c>
      <c r="AE487">
        <f t="shared" si="75"/>
        <v>1.2609341877634561</v>
      </c>
      <c r="AG487">
        <f t="shared" si="76"/>
        <v>0</v>
      </c>
    </row>
    <row r="488" spans="1:33" x14ac:dyDescent="0.25">
      <c r="A488">
        <v>507.84</v>
      </c>
      <c r="B488">
        <v>9.3279999999999994</v>
      </c>
      <c r="C488">
        <v>78.608000000000004</v>
      </c>
      <c r="D488">
        <v>513.58299999999997</v>
      </c>
      <c r="E488">
        <v>346.762</v>
      </c>
      <c r="F488">
        <v>2.512</v>
      </c>
      <c r="G488">
        <v>78.626000000000005</v>
      </c>
      <c r="H488">
        <v>77.114999999999995</v>
      </c>
      <c r="I488">
        <v>5.2130000000000001</v>
      </c>
      <c r="J488">
        <v>7.5720000000000001</v>
      </c>
      <c r="K488">
        <v>53751.972999999998</v>
      </c>
      <c r="L488">
        <v>22.178999999999998</v>
      </c>
      <c r="N488">
        <v>283.89038999999991</v>
      </c>
      <c r="O488">
        <v>353.51678999999996</v>
      </c>
      <c r="P488">
        <v>903.1694839999999</v>
      </c>
      <c r="Q488">
        <v>711.65897599999994</v>
      </c>
      <c r="R488">
        <f t="shared" si="73"/>
        <v>1.7179753235482775</v>
      </c>
      <c r="S488">
        <v>1.6613928417024644</v>
      </c>
      <c r="T488">
        <v>69.626400000000046</v>
      </c>
      <c r="U488">
        <v>191.51050799999996</v>
      </c>
      <c r="V488">
        <v>549.65269399999988</v>
      </c>
      <c r="W488">
        <v>0.22174749497361682</v>
      </c>
      <c r="Y488">
        <f t="shared" si="74"/>
        <v>1.7802740152005847</v>
      </c>
      <c r="AE488">
        <f t="shared" si="75"/>
        <v>1.2609341877634561</v>
      </c>
      <c r="AG488">
        <f t="shared" si="76"/>
        <v>0</v>
      </c>
    </row>
    <row r="489" spans="1:33" x14ac:dyDescent="0.25">
      <c r="A489">
        <v>508.84</v>
      </c>
      <c r="B489">
        <v>9.2010000000000005</v>
      </c>
      <c r="C489">
        <v>78.613</v>
      </c>
      <c r="D489">
        <v>511.12</v>
      </c>
      <c r="E489">
        <v>346.59300000000002</v>
      </c>
      <c r="F489">
        <v>2.48</v>
      </c>
      <c r="G489">
        <v>78.542000000000002</v>
      </c>
      <c r="H489">
        <v>76.963999999999999</v>
      </c>
      <c r="I489">
        <v>5.359</v>
      </c>
      <c r="J489">
        <v>9.2349999999999994</v>
      </c>
      <c r="K489">
        <v>53719.105000000003</v>
      </c>
      <c r="L489">
        <v>21.477</v>
      </c>
      <c r="N489">
        <v>283.76275499999997</v>
      </c>
      <c r="O489">
        <v>353.52181499999995</v>
      </c>
      <c r="P489">
        <v>900.34195999999986</v>
      </c>
      <c r="Q489">
        <v>711.4649639999999</v>
      </c>
      <c r="R489">
        <f t="shared" si="73"/>
        <v>1.7177014531043593</v>
      </c>
      <c r="S489">
        <v>1.657777491985045</v>
      </c>
      <c r="T489">
        <v>69.759059999999977</v>
      </c>
      <c r="U489">
        <v>188.87699599999996</v>
      </c>
      <c r="V489">
        <v>546.82014499999991</v>
      </c>
      <c r="W489">
        <v>0.2178375048710029</v>
      </c>
      <c r="Y489">
        <f t="shared" si="74"/>
        <v>1.7684266846284808</v>
      </c>
      <c r="AE489">
        <f t="shared" si="75"/>
        <v>1.2609341877634561</v>
      </c>
      <c r="AG489">
        <f t="shared" si="76"/>
        <v>0</v>
      </c>
    </row>
    <row r="490" spans="1:33" x14ac:dyDescent="0.25">
      <c r="A490">
        <v>509.84</v>
      </c>
      <c r="B490">
        <v>9.3049999999999997</v>
      </c>
      <c r="C490">
        <v>78.56</v>
      </c>
      <c r="D490">
        <v>510.56700000000001</v>
      </c>
      <c r="E490">
        <v>346.53399999999999</v>
      </c>
      <c r="F490">
        <v>2.4380000000000002</v>
      </c>
      <c r="G490">
        <v>78.153000000000006</v>
      </c>
      <c r="H490">
        <v>76.671999999999997</v>
      </c>
      <c r="I490">
        <v>5.0960000000000001</v>
      </c>
      <c r="J490">
        <v>6.4349999999999996</v>
      </c>
      <c r="K490">
        <v>53691.6</v>
      </c>
      <c r="L490">
        <v>21.443999999999999</v>
      </c>
      <c r="N490">
        <v>283.86727499999995</v>
      </c>
      <c r="O490">
        <v>353.46854999999994</v>
      </c>
      <c r="P490">
        <v>899.70711599999993</v>
      </c>
      <c r="Q490">
        <v>711.39723199999992</v>
      </c>
      <c r="R490">
        <f t="shared" si="73"/>
        <v>1.7147104910419304</v>
      </c>
      <c r="S490">
        <v>1.6591034660576816</v>
      </c>
      <c r="T490">
        <v>69.601274999999987</v>
      </c>
      <c r="U490">
        <v>188.30988400000001</v>
      </c>
      <c r="V490">
        <v>546.23856599999999</v>
      </c>
      <c r="W490">
        <v>0.2173200802522611</v>
      </c>
      <c r="Y490">
        <f t="shared" si="74"/>
        <v>1.7617468633556965</v>
      </c>
      <c r="AE490">
        <f t="shared" si="75"/>
        <v>1.2609341877634561</v>
      </c>
      <c r="AG490">
        <f t="shared" si="76"/>
        <v>0</v>
      </c>
    </row>
    <row r="491" spans="1:33" x14ac:dyDescent="0.25">
      <c r="A491">
        <v>510.84</v>
      </c>
      <c r="B491">
        <v>9.1829999999999998</v>
      </c>
      <c r="C491">
        <v>78.585999999999999</v>
      </c>
      <c r="D491">
        <v>511.92099999999999</v>
      </c>
      <c r="E491">
        <v>346.32799999999997</v>
      </c>
      <c r="F491">
        <v>2.4729999999999999</v>
      </c>
      <c r="G491">
        <v>78.468999999999994</v>
      </c>
      <c r="H491">
        <v>76.991</v>
      </c>
      <c r="I491">
        <v>5.22</v>
      </c>
      <c r="J491">
        <v>7.3819999999999997</v>
      </c>
      <c r="K491">
        <v>53661.368999999999</v>
      </c>
      <c r="L491">
        <v>21.411000000000001</v>
      </c>
      <c r="N491">
        <v>283.74466499999994</v>
      </c>
      <c r="O491">
        <v>353.49467999999996</v>
      </c>
      <c r="P491">
        <v>901.26150799999982</v>
      </c>
      <c r="Q491">
        <v>711.16074399999991</v>
      </c>
      <c r="R491">
        <f t="shared" si="73"/>
        <v>1.7171260604116143</v>
      </c>
      <c r="S491">
        <v>1.6601453274466518</v>
      </c>
      <c r="T491">
        <v>69.750015000000019</v>
      </c>
      <c r="U491">
        <v>190.10076399999991</v>
      </c>
      <c r="V491">
        <v>547.7668279999998</v>
      </c>
      <c r="W491">
        <v>0.21971164161112716</v>
      </c>
      <c r="Y491">
        <f t="shared" si="74"/>
        <v>1.7733715730444246</v>
      </c>
      <c r="AE491">
        <f t="shared" si="75"/>
        <v>1.2609341877634561</v>
      </c>
      <c r="AG491">
        <f t="shared" si="76"/>
        <v>0</v>
      </c>
    </row>
    <row r="492" spans="1:33" x14ac:dyDescent="0.25">
      <c r="A492">
        <v>511.84</v>
      </c>
      <c r="B492">
        <v>9.0579999999999998</v>
      </c>
      <c r="C492">
        <v>78.626999999999995</v>
      </c>
      <c r="D492">
        <v>511.55900000000003</v>
      </c>
      <c r="E492">
        <v>346.59800000000001</v>
      </c>
      <c r="F492">
        <v>2.4780000000000002</v>
      </c>
      <c r="G492">
        <v>78.534999999999997</v>
      </c>
      <c r="H492">
        <v>77.081000000000003</v>
      </c>
      <c r="I492">
        <v>5.26</v>
      </c>
      <c r="J492">
        <v>8.8940000000000001</v>
      </c>
      <c r="K492">
        <v>53647.644999999997</v>
      </c>
      <c r="L492">
        <v>20.879000000000001</v>
      </c>
      <c r="N492">
        <v>283.61903999999993</v>
      </c>
      <c r="O492">
        <v>353.53588499999995</v>
      </c>
      <c r="P492">
        <v>900.84593199999995</v>
      </c>
      <c r="Q492">
        <v>711.47070399999996</v>
      </c>
      <c r="R492">
        <f t="shared" si="73"/>
        <v>1.7176678178489875</v>
      </c>
      <c r="S492">
        <v>1.6603622655388011</v>
      </c>
      <c r="T492">
        <v>69.916845000000023</v>
      </c>
      <c r="U492">
        <v>189.37522799999999</v>
      </c>
      <c r="V492">
        <v>547.31004699999994</v>
      </c>
      <c r="W492">
        <v>0.21826455343692966</v>
      </c>
      <c r="Y492">
        <f t="shared" si="74"/>
        <v>1.7669910699737648</v>
      </c>
      <c r="AE492">
        <f t="shared" si="75"/>
        <v>1.2609341877634561</v>
      </c>
      <c r="AG492">
        <f t="shared" si="76"/>
        <v>0</v>
      </c>
    </row>
    <row r="493" spans="1:33" x14ac:dyDescent="0.25">
      <c r="A493">
        <v>512.84</v>
      </c>
      <c r="B493">
        <v>9.0510000000000002</v>
      </c>
      <c r="C493">
        <v>78.525999999999996</v>
      </c>
      <c r="D493">
        <v>510.709</v>
      </c>
      <c r="E493">
        <v>346.01600000000002</v>
      </c>
      <c r="F493">
        <v>2.4649999999999999</v>
      </c>
      <c r="G493">
        <v>78.647999999999996</v>
      </c>
      <c r="H493">
        <v>77.259</v>
      </c>
      <c r="I493">
        <v>5.27</v>
      </c>
      <c r="J493">
        <v>7.5010000000000003</v>
      </c>
      <c r="K493">
        <v>53650.790999999997</v>
      </c>
      <c r="L493">
        <v>21.06</v>
      </c>
      <c r="N493">
        <v>283.61200499999995</v>
      </c>
      <c r="O493">
        <v>353.43437999999998</v>
      </c>
      <c r="P493">
        <v>899.87013199999978</v>
      </c>
      <c r="Q493">
        <v>710.80256799999984</v>
      </c>
      <c r="R493">
        <f t="shared" si="73"/>
        <v>1.7189449346482328</v>
      </c>
      <c r="S493">
        <v>1.661846097269468</v>
      </c>
      <c r="T493">
        <v>69.822375000000022</v>
      </c>
      <c r="U493">
        <v>189.06756399999995</v>
      </c>
      <c r="V493">
        <v>546.43575199999987</v>
      </c>
      <c r="W493">
        <v>0.21822362201512752</v>
      </c>
      <c r="Y493">
        <f t="shared" si="74"/>
        <v>1.7631200280201464</v>
      </c>
      <c r="AE493">
        <f t="shared" si="75"/>
        <v>1.2609341877634561</v>
      </c>
      <c r="AG493">
        <f t="shared" si="76"/>
        <v>0</v>
      </c>
    </row>
    <row r="494" spans="1:33" x14ac:dyDescent="0.25">
      <c r="A494">
        <v>513.84</v>
      </c>
      <c r="B494">
        <v>9.1020000000000003</v>
      </c>
      <c r="C494">
        <v>78.465999999999994</v>
      </c>
      <c r="D494">
        <v>512.03300000000002</v>
      </c>
      <c r="E494">
        <v>346.55599999999998</v>
      </c>
      <c r="F494">
        <v>2.48</v>
      </c>
      <c r="G494">
        <v>79.090999999999994</v>
      </c>
      <c r="H494">
        <v>77.549000000000007</v>
      </c>
      <c r="I494">
        <v>5.2510000000000003</v>
      </c>
      <c r="J494">
        <v>8.5540000000000003</v>
      </c>
      <c r="K494">
        <v>53670.362000000001</v>
      </c>
      <c r="L494">
        <v>21.449000000000002</v>
      </c>
      <c r="N494">
        <v>283.66325999999992</v>
      </c>
      <c r="O494">
        <v>353.37407999999994</v>
      </c>
      <c r="P494">
        <v>901.39008399999989</v>
      </c>
      <c r="Q494">
        <v>711.42248799999982</v>
      </c>
      <c r="R494">
        <f t="shared" si="73"/>
        <v>1.7228816757878844</v>
      </c>
      <c r="S494">
        <v>1.6648030822705078</v>
      </c>
      <c r="T494">
        <v>69.710820000000012</v>
      </c>
      <c r="U494">
        <v>189.96759600000007</v>
      </c>
      <c r="V494">
        <v>548.01600399999995</v>
      </c>
      <c r="W494">
        <v>0.21944026291611746</v>
      </c>
      <c r="Y494">
        <f t="shared" si="74"/>
        <v>1.7627407777539277</v>
      </c>
      <c r="AE494">
        <f t="shared" si="75"/>
        <v>1.2609341877634561</v>
      </c>
      <c r="AG494">
        <f t="shared" si="76"/>
        <v>0</v>
      </c>
    </row>
    <row r="495" spans="1:33" x14ac:dyDescent="0.25">
      <c r="A495">
        <v>514.84</v>
      </c>
      <c r="B495">
        <v>9.1660000000000004</v>
      </c>
      <c r="C495">
        <v>78.379000000000005</v>
      </c>
      <c r="D495">
        <v>513.77200000000005</v>
      </c>
      <c r="E495">
        <v>346.72399999999999</v>
      </c>
      <c r="F495">
        <v>2.4620000000000002</v>
      </c>
      <c r="G495">
        <v>78.790999999999997</v>
      </c>
      <c r="H495">
        <v>77.248000000000005</v>
      </c>
      <c r="I495">
        <v>5.266</v>
      </c>
      <c r="J495">
        <v>6.9649999999999999</v>
      </c>
      <c r="K495">
        <v>53694.754000000001</v>
      </c>
      <c r="L495">
        <v>21.713000000000001</v>
      </c>
      <c r="N495">
        <v>283.72757999999993</v>
      </c>
      <c r="O495">
        <v>353.28664499999996</v>
      </c>
      <c r="P495">
        <v>903.38645599999995</v>
      </c>
      <c r="Q495">
        <v>711.61535199999992</v>
      </c>
      <c r="R495">
        <f t="shared" si="73"/>
        <v>1.7203431418810515</v>
      </c>
      <c r="S495">
        <v>1.6618060791056026</v>
      </c>
      <c r="T495">
        <v>69.559065000000032</v>
      </c>
      <c r="U495">
        <v>191.77110400000004</v>
      </c>
      <c r="V495">
        <v>550.09981100000005</v>
      </c>
      <c r="W495">
        <v>0.22216339027246093</v>
      </c>
      <c r="Y495">
        <f t="shared" si="74"/>
        <v>1.7814498144576145</v>
      </c>
      <c r="AE495">
        <f t="shared" si="75"/>
        <v>1.2609341877634561</v>
      </c>
      <c r="AG495">
        <f t="shared" si="76"/>
        <v>0</v>
      </c>
    </row>
    <row r="496" spans="1:33" x14ac:dyDescent="0.25">
      <c r="A496">
        <v>515.84</v>
      </c>
      <c r="B496">
        <v>9.1950000000000003</v>
      </c>
      <c r="C496">
        <v>78.372</v>
      </c>
      <c r="D496">
        <v>515.46699999999998</v>
      </c>
      <c r="E496">
        <v>346.33100000000002</v>
      </c>
      <c r="F496">
        <v>2.4529999999999998</v>
      </c>
      <c r="G496">
        <v>78.409000000000006</v>
      </c>
      <c r="H496">
        <v>76.850999999999999</v>
      </c>
      <c r="I496">
        <v>5.2649999999999997</v>
      </c>
      <c r="J496">
        <v>7.5709999999999997</v>
      </c>
      <c r="K496">
        <v>53706.667000000001</v>
      </c>
      <c r="L496">
        <v>21.010999999999999</v>
      </c>
      <c r="N496">
        <v>283.75672499999996</v>
      </c>
      <c r="O496">
        <v>353.27960999999993</v>
      </c>
      <c r="P496">
        <v>905.33231599999988</v>
      </c>
      <c r="Q496">
        <v>711.16418799999997</v>
      </c>
      <c r="R496">
        <f t="shared" si="73"/>
        <v>1.7168839013524864</v>
      </c>
      <c r="S496">
        <v>1.6581712867190732</v>
      </c>
      <c r="T496">
        <v>69.522884999999974</v>
      </c>
      <c r="U496">
        <v>194.16812799999991</v>
      </c>
      <c r="V496">
        <v>552.05270599999994</v>
      </c>
      <c r="W496">
        <v>0.22578504125654977</v>
      </c>
      <c r="Y496">
        <f t="shared" si="74"/>
        <v>1.8071491484372455</v>
      </c>
      <c r="AE496">
        <f t="shared" si="75"/>
        <v>1.2609341877634561</v>
      </c>
      <c r="AG496">
        <f t="shared" si="76"/>
        <v>0</v>
      </c>
    </row>
    <row r="497" spans="1:31" x14ac:dyDescent="0.25">
      <c r="A497">
        <v>516.84</v>
      </c>
      <c r="B497">
        <v>9.3160000000000007</v>
      </c>
      <c r="C497">
        <v>78.349000000000004</v>
      </c>
      <c r="D497">
        <v>514.57600000000002</v>
      </c>
      <c r="E497">
        <v>346.61</v>
      </c>
      <c r="F497">
        <v>2.44</v>
      </c>
      <c r="G497">
        <v>78.021000000000001</v>
      </c>
      <c r="H497">
        <v>76.412000000000006</v>
      </c>
      <c r="I497">
        <v>5.37</v>
      </c>
      <c r="J497">
        <v>8.0640000000000001</v>
      </c>
      <c r="K497">
        <v>53692.303999999996</v>
      </c>
      <c r="L497">
        <v>21.603000000000002</v>
      </c>
      <c r="N497">
        <v>283.87832999999995</v>
      </c>
      <c r="O497">
        <v>353.25649499999992</v>
      </c>
      <c r="P497">
        <v>904.30944799999997</v>
      </c>
      <c r="Q497">
        <v>711.48447999999996</v>
      </c>
      <c r="R497">
        <f t="shared" si="73"/>
        <v>1.7134321313951295</v>
      </c>
      <c r="S497">
        <v>1.6525397262790484</v>
      </c>
      <c r="T497">
        <v>69.378164999999967</v>
      </c>
      <c r="U497">
        <v>192.82496800000001</v>
      </c>
      <c r="V497">
        <v>551.05295300000012</v>
      </c>
      <c r="W497">
        <v>0.2240198556743784</v>
      </c>
      <c r="Y497">
        <f t="shared" si="74"/>
        <v>1.8080941498439211</v>
      </c>
      <c r="AE497">
        <f t="shared" si="75"/>
        <v>1.2609341877634561</v>
      </c>
    </row>
    <row r="498" spans="1:31" x14ac:dyDescent="0.25">
      <c r="A498">
        <v>517.84</v>
      </c>
      <c r="B498">
        <v>9.3759999999999994</v>
      </c>
      <c r="C498">
        <v>78.349000000000004</v>
      </c>
      <c r="D498">
        <v>511.38499999999999</v>
      </c>
      <c r="E498">
        <v>346.47899999999998</v>
      </c>
      <c r="F498">
        <v>2.4449999999999998</v>
      </c>
      <c r="G498">
        <v>78.105999999999995</v>
      </c>
      <c r="H498">
        <v>76.617999999999995</v>
      </c>
      <c r="I498">
        <v>5.173</v>
      </c>
      <c r="J498">
        <v>7.609</v>
      </c>
      <c r="K498">
        <v>53604.716</v>
      </c>
      <c r="L498">
        <v>21.279</v>
      </c>
      <c r="N498">
        <v>283.93862999999993</v>
      </c>
      <c r="O498">
        <v>353.25649499999992</v>
      </c>
      <c r="P498">
        <v>900.64617999999984</v>
      </c>
      <c r="Q498">
        <v>711.33409199999983</v>
      </c>
      <c r="R498">
        <f t="shared" si="73"/>
        <v>1.7141535702487141</v>
      </c>
      <c r="S498">
        <v>1.6574310086221968</v>
      </c>
      <c r="T498">
        <v>69.317864999999983</v>
      </c>
      <c r="U498">
        <v>189.31208800000002</v>
      </c>
      <c r="V498">
        <v>547.38968499999987</v>
      </c>
      <c r="W498">
        <v>0.21921169924858935</v>
      </c>
      <c r="Y498">
        <f t="shared" si="74"/>
        <v>1.7725893881155053</v>
      </c>
      <c r="AE498">
        <f t="shared" si="75"/>
        <v>1.2609341877634561</v>
      </c>
    </row>
    <row r="499" spans="1:31" x14ac:dyDescent="0.25">
      <c r="A499">
        <v>518.84</v>
      </c>
      <c r="B499">
        <v>9.2010000000000005</v>
      </c>
      <c r="C499">
        <v>78.364000000000004</v>
      </c>
      <c r="D499">
        <v>512.29999999999995</v>
      </c>
      <c r="E499">
        <v>346.23399999999998</v>
      </c>
      <c r="F499">
        <v>2.4540000000000002</v>
      </c>
      <c r="G499">
        <v>77.906000000000006</v>
      </c>
      <c r="H499">
        <v>76.385000000000005</v>
      </c>
      <c r="I499">
        <v>5.1929999999999996</v>
      </c>
      <c r="J499">
        <v>8.8130000000000006</v>
      </c>
      <c r="K499">
        <v>53557.663999999997</v>
      </c>
      <c r="L499">
        <v>21.51</v>
      </c>
      <c r="N499">
        <v>283.76275499999997</v>
      </c>
      <c r="O499">
        <v>353.27157</v>
      </c>
      <c r="P499">
        <v>901.69659999999988</v>
      </c>
      <c r="Q499">
        <v>711.05283199999997</v>
      </c>
      <c r="R499">
        <f t="shared" si="73"/>
        <v>1.7121203541159373</v>
      </c>
      <c r="S499">
        <v>1.6549823815701104</v>
      </c>
      <c r="T499">
        <v>69.508815000000027</v>
      </c>
      <c r="U499">
        <v>190.64376799999991</v>
      </c>
      <c r="V499">
        <v>548.42502999999988</v>
      </c>
      <c r="W499">
        <v>0.22087787094618913</v>
      </c>
      <c r="Y499">
        <f t="shared" si="74"/>
        <v>1.7878880326779558</v>
      </c>
      <c r="AE499">
        <f t="shared" si="75"/>
        <v>1.2609341877634561</v>
      </c>
    </row>
    <row r="500" spans="1:31" x14ac:dyDescent="0.25">
      <c r="A500">
        <v>519.84</v>
      </c>
      <c r="B500">
        <v>9.0779999999999994</v>
      </c>
      <c r="C500">
        <v>78.19</v>
      </c>
      <c r="D500">
        <v>515.923</v>
      </c>
      <c r="E500">
        <v>346.38</v>
      </c>
      <c r="F500">
        <v>2.4740000000000002</v>
      </c>
      <c r="G500">
        <v>78.320999999999998</v>
      </c>
      <c r="H500">
        <v>76.781000000000006</v>
      </c>
      <c r="I500">
        <v>5.1669999999999998</v>
      </c>
      <c r="J500">
        <v>7.383</v>
      </c>
      <c r="K500">
        <v>53538.82</v>
      </c>
      <c r="L500">
        <v>20.709</v>
      </c>
      <c r="N500">
        <v>283.63913999999994</v>
      </c>
      <c r="O500">
        <v>353.09669999999994</v>
      </c>
      <c r="P500">
        <v>905.85580399999992</v>
      </c>
      <c r="Q500">
        <v>711.22043999999994</v>
      </c>
      <c r="R500">
        <f t="shared" si="73"/>
        <v>1.7157132881650214</v>
      </c>
      <c r="S500">
        <v>1.6590225183358334</v>
      </c>
      <c r="T500">
        <v>69.457560000000001</v>
      </c>
      <c r="U500">
        <v>194.63536399999998</v>
      </c>
      <c r="V500">
        <v>552.75910399999998</v>
      </c>
      <c r="W500">
        <v>0.22645995894804835</v>
      </c>
      <c r="Y500">
        <f t="shared" si="74"/>
        <v>1.8087289589850675</v>
      </c>
      <c r="AE500">
        <f t="shared" si="75"/>
        <v>1.2609341877634561</v>
      </c>
    </row>
    <row r="501" spans="1:31" x14ac:dyDescent="0.25">
      <c r="A501">
        <v>520.84</v>
      </c>
      <c r="B501">
        <v>8.9369999999999994</v>
      </c>
      <c r="C501">
        <v>78.197999999999993</v>
      </c>
      <c r="D501">
        <v>516.08900000000006</v>
      </c>
      <c r="E501">
        <v>346.33699999999999</v>
      </c>
      <c r="F501">
        <v>2.4529999999999998</v>
      </c>
      <c r="G501">
        <v>78.141999999999996</v>
      </c>
      <c r="H501">
        <v>76.677999999999997</v>
      </c>
      <c r="I501">
        <v>5.27</v>
      </c>
      <c r="J501">
        <v>8.7070000000000007</v>
      </c>
      <c r="K501">
        <v>53532.811000000002</v>
      </c>
      <c r="L501">
        <v>21.646999999999998</v>
      </c>
      <c r="N501">
        <v>283.49743499999994</v>
      </c>
      <c r="O501">
        <v>353.10473999999994</v>
      </c>
      <c r="P501">
        <v>906.04637200000002</v>
      </c>
      <c r="Q501">
        <v>711.17107599999986</v>
      </c>
      <c r="R501">
        <f t="shared" si="73"/>
        <v>1.7143639160759958</v>
      </c>
      <c r="S501">
        <v>1.6565045508871932</v>
      </c>
      <c r="T501">
        <v>69.607304999999997</v>
      </c>
      <c r="U501">
        <v>194.87529600000016</v>
      </c>
      <c r="V501">
        <v>552.94163200000003</v>
      </c>
      <c r="W501">
        <v>0.22654830772445828</v>
      </c>
      <c r="Y501">
        <f t="shared" si="74"/>
        <v>1.81568930145906</v>
      </c>
      <c r="AE501">
        <f t="shared" si="75"/>
        <v>1.2609341877634561</v>
      </c>
    </row>
    <row r="502" spans="1:31" x14ac:dyDescent="0.25">
      <c r="A502">
        <v>521.84</v>
      </c>
      <c r="B502">
        <v>8.9260000000000002</v>
      </c>
      <c r="C502">
        <v>78.236000000000004</v>
      </c>
      <c r="D502">
        <v>513.596</v>
      </c>
      <c r="E502">
        <v>345.86700000000002</v>
      </c>
      <c r="F502">
        <v>2.4449999999999998</v>
      </c>
      <c r="G502">
        <v>77.813999999999993</v>
      </c>
      <c r="H502">
        <v>76.409000000000006</v>
      </c>
      <c r="I502">
        <v>5.0519999999999996</v>
      </c>
      <c r="J502">
        <v>7.4580000000000002</v>
      </c>
      <c r="K502">
        <v>53515.576999999997</v>
      </c>
      <c r="L502">
        <v>21.905000000000001</v>
      </c>
      <c r="N502">
        <v>283.48637999999994</v>
      </c>
      <c r="O502">
        <v>353.14292999999992</v>
      </c>
      <c r="P502">
        <v>903.18440799999996</v>
      </c>
      <c r="Q502">
        <v>710.63151600000003</v>
      </c>
      <c r="R502">
        <f t="shared" si="73"/>
        <v>1.7113974231912785</v>
      </c>
      <c r="S502">
        <v>1.657353157933525</v>
      </c>
      <c r="T502">
        <v>69.656549999999982</v>
      </c>
      <c r="U502">
        <v>192.55289199999993</v>
      </c>
      <c r="V502">
        <v>550.0414780000001</v>
      </c>
      <c r="W502">
        <v>0.22343104459478585</v>
      </c>
      <c r="Y502">
        <f t="shared" si="74"/>
        <v>1.798024090201789</v>
      </c>
      <c r="AE502">
        <f t="shared" si="75"/>
        <v>1.2609341877634561</v>
      </c>
    </row>
    <row r="503" spans="1:31" x14ac:dyDescent="0.25">
      <c r="A503">
        <v>522.84</v>
      </c>
      <c r="B503">
        <v>9.0609999999999999</v>
      </c>
      <c r="C503">
        <v>78.072999999999993</v>
      </c>
      <c r="D503">
        <v>511.69799999999998</v>
      </c>
      <c r="E503">
        <v>346.315</v>
      </c>
      <c r="F503">
        <v>2.44</v>
      </c>
      <c r="G503">
        <v>77.459999999999994</v>
      </c>
      <c r="H503">
        <v>76.018000000000001</v>
      </c>
      <c r="I503">
        <v>5.2949999999999999</v>
      </c>
      <c r="J503">
        <v>8.1010000000000009</v>
      </c>
      <c r="K503">
        <v>53495.341999999997</v>
      </c>
      <c r="L503">
        <v>21.318000000000001</v>
      </c>
      <c r="N503">
        <v>283.62205499999993</v>
      </c>
      <c r="O503">
        <v>352.97911499999992</v>
      </c>
      <c r="P503">
        <v>901.00550399999986</v>
      </c>
      <c r="Q503">
        <v>711.14581999999984</v>
      </c>
      <c r="R503">
        <f t="shared" si="73"/>
        <v>1.7081366811402678</v>
      </c>
      <c r="S503">
        <v>1.6500574474929914</v>
      </c>
      <c r="T503">
        <v>69.35705999999999</v>
      </c>
      <c r="U503">
        <v>189.85968400000002</v>
      </c>
      <c r="V503">
        <v>548.02638899999988</v>
      </c>
      <c r="W503">
        <v>0.21988471069775448</v>
      </c>
      <c r="Y503">
        <f t="shared" si="74"/>
        <v>1.7918511609367433</v>
      </c>
      <c r="AE503">
        <f t="shared" si="75"/>
        <v>1.2609341877634561</v>
      </c>
    </row>
    <row r="504" spans="1:31" x14ac:dyDescent="0.25">
      <c r="A504">
        <v>523.84</v>
      </c>
      <c r="B504">
        <v>9.0909999999999993</v>
      </c>
      <c r="C504">
        <v>78.138999999999996</v>
      </c>
      <c r="D504">
        <v>508.55099999999999</v>
      </c>
      <c r="E504">
        <v>346.363</v>
      </c>
      <c r="F504">
        <v>2.4359999999999999</v>
      </c>
      <c r="G504">
        <v>77.938000000000002</v>
      </c>
      <c r="H504">
        <v>76.451999999999998</v>
      </c>
      <c r="I504">
        <v>5</v>
      </c>
      <c r="J504">
        <v>7.7229999999999999</v>
      </c>
      <c r="K504">
        <v>53463.258999999998</v>
      </c>
      <c r="L504">
        <v>21.344999999999999</v>
      </c>
      <c r="N504">
        <v>283.65220499999998</v>
      </c>
      <c r="O504">
        <v>353.04544499999997</v>
      </c>
      <c r="P504">
        <v>897.39274799999998</v>
      </c>
      <c r="Q504">
        <v>711.20092399999987</v>
      </c>
      <c r="R504">
        <f t="shared" si="73"/>
        <v>1.7127133363540248</v>
      </c>
      <c r="S504">
        <v>1.6585437788018433</v>
      </c>
      <c r="T504">
        <v>69.393239999999992</v>
      </c>
      <c r="U504">
        <v>186.19182400000011</v>
      </c>
      <c r="V504">
        <v>544.34730300000001</v>
      </c>
      <c r="W504">
        <v>0.21456629500376181</v>
      </c>
      <c r="Y504">
        <f t="shared" si="74"/>
        <v>1.7475161784452893</v>
      </c>
      <c r="AE504">
        <f t="shared" si="75"/>
        <v>1.2609341877634561</v>
      </c>
    </row>
    <row r="505" spans="1:31" x14ac:dyDescent="0.25">
      <c r="A505">
        <v>524.84</v>
      </c>
      <c r="B505">
        <v>9.1679999999999993</v>
      </c>
      <c r="C505">
        <v>78.137</v>
      </c>
      <c r="D505">
        <v>507.20299999999997</v>
      </c>
      <c r="E505">
        <v>345.93400000000003</v>
      </c>
      <c r="F505">
        <v>2.4470000000000001</v>
      </c>
      <c r="G505">
        <v>78.007999999999996</v>
      </c>
      <c r="H505">
        <v>76.492000000000004</v>
      </c>
      <c r="I505">
        <v>5.16</v>
      </c>
      <c r="J505">
        <v>7.3819999999999997</v>
      </c>
      <c r="K505">
        <v>53438.470999999998</v>
      </c>
      <c r="L505">
        <v>21.06</v>
      </c>
      <c r="N505">
        <v>283.72958999999997</v>
      </c>
      <c r="O505">
        <v>353.04343499999993</v>
      </c>
      <c r="P505">
        <v>895.84524399999987</v>
      </c>
      <c r="Q505">
        <v>710.70843200000002</v>
      </c>
      <c r="R505">
        <f t="shared" si="73"/>
        <v>1.7131962207518852</v>
      </c>
      <c r="S505">
        <v>1.6564697220688389</v>
      </c>
      <c r="T505">
        <v>69.313844999999958</v>
      </c>
      <c r="U505">
        <v>185.13681199999985</v>
      </c>
      <c r="V505">
        <v>542.80180899999993</v>
      </c>
      <c r="W505">
        <v>0.21337984708153379</v>
      </c>
      <c r="Y505">
        <f t="shared" si="74"/>
        <v>1.744664551872108</v>
      </c>
      <c r="AE505">
        <f t="shared" si="75"/>
        <v>1.2609341877634561</v>
      </c>
    </row>
    <row r="506" spans="1:31" x14ac:dyDescent="0.25">
      <c r="A506">
        <v>525.84</v>
      </c>
      <c r="B506">
        <v>9.3469999999999995</v>
      </c>
      <c r="C506">
        <v>78.162999999999997</v>
      </c>
      <c r="D506">
        <v>507.24900000000002</v>
      </c>
      <c r="E506">
        <v>346.11200000000002</v>
      </c>
      <c r="F506">
        <v>2.464</v>
      </c>
      <c r="G506">
        <v>78.338999999999999</v>
      </c>
      <c r="H506">
        <v>76.929000000000002</v>
      </c>
      <c r="I506">
        <v>5.1820000000000004</v>
      </c>
      <c r="J506">
        <v>7.9160000000000004</v>
      </c>
      <c r="K506">
        <v>53438.673000000003</v>
      </c>
      <c r="L506">
        <v>21.34</v>
      </c>
      <c r="N506">
        <v>283.9094849999999</v>
      </c>
      <c r="O506">
        <v>353.06956499999995</v>
      </c>
      <c r="P506">
        <v>895.89805199999989</v>
      </c>
      <c r="Q506">
        <v>710.91277599999989</v>
      </c>
      <c r="R506">
        <f t="shared" si="73"/>
        <v>1.7160450719112152</v>
      </c>
      <c r="S506">
        <v>1.6601553155076278</v>
      </c>
      <c r="T506">
        <v>69.16008000000005</v>
      </c>
      <c r="U506">
        <v>184.985276</v>
      </c>
      <c r="V506">
        <v>542.828487</v>
      </c>
      <c r="W506">
        <v>0.21337346652553249</v>
      </c>
      <c r="Y506">
        <f t="shared" si="74"/>
        <v>1.7359628939973499</v>
      </c>
      <c r="AE506">
        <f t="shared" si="75"/>
        <v>1.2609341877634561</v>
      </c>
    </row>
    <row r="507" spans="1:31" x14ac:dyDescent="0.25">
      <c r="A507">
        <v>526.84</v>
      </c>
      <c r="B507">
        <v>9.3140000000000001</v>
      </c>
      <c r="C507">
        <v>78.269000000000005</v>
      </c>
      <c r="D507">
        <v>509.84</v>
      </c>
      <c r="E507">
        <v>346.18900000000002</v>
      </c>
      <c r="F507">
        <v>2.4500000000000002</v>
      </c>
      <c r="G507">
        <v>78.534000000000006</v>
      </c>
      <c r="H507">
        <v>77.019000000000005</v>
      </c>
      <c r="I507">
        <v>5.1159999999999997</v>
      </c>
      <c r="J507">
        <v>7.8150000000000004</v>
      </c>
      <c r="K507">
        <v>53472.034</v>
      </c>
      <c r="L507">
        <v>21.954000000000001</v>
      </c>
      <c r="N507">
        <v>283.87631999999996</v>
      </c>
      <c r="O507">
        <v>353.17609499999992</v>
      </c>
      <c r="P507">
        <v>898.87251999999989</v>
      </c>
      <c r="Q507">
        <v>711.00117199999988</v>
      </c>
      <c r="R507">
        <f t="shared" si="73"/>
        <v>1.718112317130722</v>
      </c>
      <c r="S507">
        <v>1.6619927082566106</v>
      </c>
      <c r="T507">
        <v>69.299774999999954</v>
      </c>
      <c r="U507">
        <v>187.87134800000001</v>
      </c>
      <c r="V507">
        <v>545.69642499999998</v>
      </c>
      <c r="W507">
        <v>0.21728486309947892</v>
      </c>
      <c r="Y507">
        <f t="shared" si="74"/>
        <v>1.753623663409269</v>
      </c>
      <c r="AE507">
        <f t="shared" si="75"/>
        <v>1.2609341877634561</v>
      </c>
    </row>
    <row r="508" spans="1:31" x14ac:dyDescent="0.25">
      <c r="A508">
        <v>527.84</v>
      </c>
      <c r="B508">
        <v>9.1679999999999993</v>
      </c>
      <c r="C508">
        <v>78.33</v>
      </c>
      <c r="D508">
        <v>510.49299999999999</v>
      </c>
      <c r="E508">
        <v>345.983</v>
      </c>
      <c r="F508">
        <v>2.4660000000000002</v>
      </c>
      <c r="G508">
        <v>78.111999999999995</v>
      </c>
      <c r="H508">
        <v>76.852000000000004</v>
      </c>
      <c r="I508">
        <v>5.0090000000000003</v>
      </c>
      <c r="J508">
        <v>7.5720000000000001</v>
      </c>
      <c r="K508">
        <v>53498.843999999997</v>
      </c>
      <c r="L508">
        <v>21.832999999999998</v>
      </c>
      <c r="N508">
        <v>283.72958999999997</v>
      </c>
      <c r="O508">
        <v>353.23739999999992</v>
      </c>
      <c r="P508">
        <v>899.622164</v>
      </c>
      <c r="Q508">
        <v>710.76468399999999</v>
      </c>
      <c r="R508">
        <f t="shared" si="73"/>
        <v>1.7138704867599042</v>
      </c>
      <c r="S508">
        <v>1.6620925453188216</v>
      </c>
      <c r="T508">
        <v>69.507809999999949</v>
      </c>
      <c r="U508">
        <v>188.85748000000001</v>
      </c>
      <c r="V508">
        <v>546.38476400000013</v>
      </c>
      <c r="W508">
        <v>0.21843520878265199</v>
      </c>
      <c r="Y508">
        <f t="shared" si="74"/>
        <v>1.7611641398044668</v>
      </c>
      <c r="AE508">
        <f t="shared" si="75"/>
        <v>1.2609341877634561</v>
      </c>
    </row>
    <row r="509" spans="1:31" x14ac:dyDescent="0.25">
      <c r="A509">
        <v>528.84</v>
      </c>
      <c r="B509">
        <v>9.0030000000000001</v>
      </c>
      <c r="C509">
        <v>78.322999999999993</v>
      </c>
      <c r="D509">
        <v>512.17100000000005</v>
      </c>
      <c r="E509">
        <v>345.84300000000002</v>
      </c>
      <c r="F509">
        <v>2.4470000000000001</v>
      </c>
      <c r="G509">
        <v>78.277000000000001</v>
      </c>
      <c r="H509">
        <v>76.739999999999995</v>
      </c>
      <c r="I509">
        <v>5.1210000000000004</v>
      </c>
      <c r="J509">
        <v>8.1020000000000003</v>
      </c>
      <c r="K509">
        <v>53521.334999999999</v>
      </c>
      <c r="L509">
        <v>21.454999999999998</v>
      </c>
      <c r="N509">
        <v>283.56376499999993</v>
      </c>
      <c r="O509">
        <v>353.23036499999989</v>
      </c>
      <c r="P509">
        <v>901.54850799999997</v>
      </c>
      <c r="Q509">
        <v>710.60396399999991</v>
      </c>
      <c r="R509">
        <f t="shared" si="73"/>
        <v>1.7157352261036176</v>
      </c>
      <c r="S509">
        <v>1.659347639959124</v>
      </c>
      <c r="T509">
        <v>69.66659999999996</v>
      </c>
      <c r="U509">
        <v>190.94454400000006</v>
      </c>
      <c r="V509">
        <v>548.31814300000008</v>
      </c>
      <c r="W509">
        <v>0.22118170910131654</v>
      </c>
      <c r="Y509">
        <f t="shared" si="74"/>
        <v>1.7822609685920807</v>
      </c>
      <c r="AE509">
        <f t="shared" si="75"/>
        <v>1.2609341877634561</v>
      </c>
    </row>
    <row r="510" spans="1:31" x14ac:dyDescent="0.25">
      <c r="A510">
        <v>529.84</v>
      </c>
      <c r="B510">
        <v>9.1379999999999999</v>
      </c>
      <c r="C510">
        <v>78.343000000000004</v>
      </c>
      <c r="D510">
        <v>510.66500000000002</v>
      </c>
      <c r="E510">
        <v>346.02600000000001</v>
      </c>
      <c r="F510">
        <v>2.4940000000000002</v>
      </c>
      <c r="G510">
        <v>77.909000000000006</v>
      </c>
      <c r="H510">
        <v>76.501999999999995</v>
      </c>
      <c r="I510">
        <v>5.2939999999999996</v>
      </c>
      <c r="J510">
        <v>6.89</v>
      </c>
      <c r="K510">
        <v>53515.552000000003</v>
      </c>
      <c r="L510">
        <v>21.488</v>
      </c>
      <c r="N510">
        <v>283.69943999999992</v>
      </c>
      <c r="O510">
        <v>353.25046499999996</v>
      </c>
      <c r="P510">
        <v>899.81961999999999</v>
      </c>
      <c r="Q510">
        <v>710.81404799999984</v>
      </c>
      <c r="R510">
        <f t="shared" si="73"/>
        <v>1.7115025378795026</v>
      </c>
      <c r="S510">
        <v>1.6545213890471901</v>
      </c>
      <c r="T510">
        <v>69.551025000000038</v>
      </c>
      <c r="U510">
        <v>189.00557200000014</v>
      </c>
      <c r="V510">
        <v>546.56915500000002</v>
      </c>
      <c r="W510">
        <v>0.21855339970657528</v>
      </c>
      <c r="Y510">
        <f t="shared" si="74"/>
        <v>1.7771443849560866</v>
      </c>
      <c r="AE510">
        <f t="shared" si="75"/>
        <v>1.2609341877634561</v>
      </c>
    </row>
    <row r="511" spans="1:31" x14ac:dyDescent="0.25">
      <c r="A511">
        <v>530.84</v>
      </c>
      <c r="B511">
        <v>9.0619999999999994</v>
      </c>
      <c r="C511">
        <v>78.331999999999994</v>
      </c>
      <c r="D511">
        <v>510.99900000000002</v>
      </c>
      <c r="E511">
        <v>346.02</v>
      </c>
      <c r="F511">
        <v>2.4460000000000002</v>
      </c>
      <c r="G511">
        <v>78.320999999999998</v>
      </c>
      <c r="H511">
        <v>76.914000000000001</v>
      </c>
      <c r="I511">
        <v>5.1550000000000002</v>
      </c>
      <c r="J511">
        <v>8.1780000000000008</v>
      </c>
      <c r="K511">
        <v>53512.107000000004</v>
      </c>
      <c r="L511">
        <v>21.728999999999999</v>
      </c>
      <c r="N511">
        <v>283.62305999999995</v>
      </c>
      <c r="O511">
        <v>353.23940999999991</v>
      </c>
      <c r="P511">
        <v>900.20305199999996</v>
      </c>
      <c r="Q511">
        <v>710.80715999999995</v>
      </c>
      <c r="R511">
        <f t="shared" si="73"/>
        <v>1.7161667264455478</v>
      </c>
      <c r="S511">
        <v>1.6604298007454787</v>
      </c>
      <c r="T511">
        <v>69.616349999999954</v>
      </c>
      <c r="U511">
        <v>189.395892</v>
      </c>
      <c r="V511">
        <v>546.96364200000005</v>
      </c>
      <c r="W511">
        <v>0.21898995253509015</v>
      </c>
      <c r="Y511">
        <f t="shared" si="74"/>
        <v>1.7683128543026503</v>
      </c>
      <c r="AE511">
        <f t="shared" si="75"/>
        <v>1.2609341877634561</v>
      </c>
    </row>
    <row r="512" spans="1:31" x14ac:dyDescent="0.25">
      <c r="A512">
        <v>531.84</v>
      </c>
      <c r="B512">
        <v>9.0470000000000006</v>
      </c>
      <c r="C512">
        <v>78.257999999999996</v>
      </c>
      <c r="D512">
        <v>513.01199999999994</v>
      </c>
      <c r="E512">
        <v>346.053</v>
      </c>
      <c r="F512">
        <v>2.4660000000000002</v>
      </c>
      <c r="G512">
        <v>78.507000000000005</v>
      </c>
      <c r="H512">
        <v>77.090999999999994</v>
      </c>
      <c r="I512">
        <v>5.0819999999999999</v>
      </c>
      <c r="J512">
        <v>8.0250000000000004</v>
      </c>
      <c r="K512">
        <v>53531.129000000001</v>
      </c>
      <c r="L512">
        <v>21.477</v>
      </c>
      <c r="N512">
        <v>283.60798499999999</v>
      </c>
      <c r="O512">
        <v>353.16503999999992</v>
      </c>
      <c r="P512">
        <v>902.51397599999984</v>
      </c>
      <c r="Q512">
        <v>710.84504399999992</v>
      </c>
      <c r="R512">
        <f t="shared" si="73"/>
        <v>1.7175980975029728</v>
      </c>
      <c r="S512">
        <v>1.6631762170525504</v>
      </c>
      <c r="T512">
        <v>69.557054999999934</v>
      </c>
      <c r="U512">
        <v>191.66893199999993</v>
      </c>
      <c r="V512">
        <v>549.34893599999987</v>
      </c>
      <c r="W512">
        <v>0.22228472469454283</v>
      </c>
      <c r="Y512">
        <f t="shared" si="74"/>
        <v>1.7795140194266175</v>
      </c>
      <c r="AE512">
        <f t="shared" si="75"/>
        <v>1.2609341877634561</v>
      </c>
    </row>
    <row r="513" spans="1:31" x14ac:dyDescent="0.25">
      <c r="A513">
        <v>532.84100000000001</v>
      </c>
      <c r="B513">
        <v>8.9510000000000005</v>
      </c>
      <c r="C513">
        <v>78.391999999999996</v>
      </c>
      <c r="D513">
        <v>515.36599999999999</v>
      </c>
      <c r="E513">
        <v>346.279</v>
      </c>
      <c r="F513">
        <v>2.476</v>
      </c>
      <c r="G513">
        <v>78.358000000000004</v>
      </c>
      <c r="H513">
        <v>76.906999999999996</v>
      </c>
      <c r="I513">
        <v>5.1589999999999998</v>
      </c>
      <c r="J513">
        <v>7.3129999999999997</v>
      </c>
      <c r="K513">
        <v>53553.41</v>
      </c>
      <c r="L513">
        <v>21.263000000000002</v>
      </c>
      <c r="N513">
        <v>283.51150499999994</v>
      </c>
      <c r="O513">
        <v>353.29970999999995</v>
      </c>
      <c r="P513">
        <v>905.21636799999987</v>
      </c>
      <c r="Q513">
        <v>711.10449199999994</v>
      </c>
      <c r="R513">
        <f t="shared" si="73"/>
        <v>1.716030044538386</v>
      </c>
      <c r="S513">
        <v>1.6603042545946491</v>
      </c>
      <c r="T513">
        <v>69.788205000000005</v>
      </c>
      <c r="U513">
        <v>194.11187599999994</v>
      </c>
      <c r="V513">
        <v>551.91665799999987</v>
      </c>
      <c r="W513">
        <v>0.2252580515516891</v>
      </c>
      <c r="Y513">
        <f t="shared" si="74"/>
        <v>1.8025590009064105</v>
      </c>
      <c r="AE513">
        <f t="shared" si="75"/>
        <v>1.2609341877634561</v>
      </c>
    </row>
    <row r="514" spans="1:31" x14ac:dyDescent="0.25">
      <c r="A514">
        <v>533.84100000000001</v>
      </c>
      <c r="B514">
        <v>9.0190000000000001</v>
      </c>
      <c r="C514">
        <v>78.382999999999996</v>
      </c>
      <c r="D514">
        <v>517.13800000000003</v>
      </c>
      <c r="E514">
        <v>346.54599999999999</v>
      </c>
      <c r="F514">
        <v>2.4590000000000001</v>
      </c>
      <c r="G514">
        <v>78.207999999999998</v>
      </c>
      <c r="H514">
        <v>76.706999999999994</v>
      </c>
      <c r="I514">
        <v>5.3369999999999997</v>
      </c>
      <c r="J514">
        <v>8.2720000000000002</v>
      </c>
      <c r="K514">
        <v>53549.567999999999</v>
      </c>
      <c r="L514">
        <v>21.361999999999998</v>
      </c>
      <c r="N514">
        <v>283.57984499999998</v>
      </c>
      <c r="O514">
        <v>353.29066499999993</v>
      </c>
      <c r="P514">
        <v>907.2506239999999</v>
      </c>
      <c r="Q514">
        <v>711.41100799999981</v>
      </c>
      <c r="R514">
        <f t="shared" si="73"/>
        <v>1.7148897214960503</v>
      </c>
      <c r="S514">
        <v>1.6557512610601173</v>
      </c>
      <c r="T514">
        <v>69.710819999999956</v>
      </c>
      <c r="U514">
        <v>195.83961600000009</v>
      </c>
      <c r="V514">
        <v>553.95995900000003</v>
      </c>
      <c r="W514">
        <v>0.22768576311487548</v>
      </c>
      <c r="Y514">
        <f t="shared" si="74"/>
        <v>1.8237943148610312</v>
      </c>
      <c r="AE514">
        <f t="shared" si="75"/>
        <v>1.2609341877634561</v>
      </c>
    </row>
    <row r="515" spans="1:31" x14ac:dyDescent="0.25">
      <c r="A515">
        <v>534.84100000000001</v>
      </c>
      <c r="B515">
        <v>9.0950000000000006</v>
      </c>
      <c r="C515">
        <v>78.247</v>
      </c>
      <c r="D515">
        <v>513.96799999999996</v>
      </c>
      <c r="E515">
        <v>346.28199999999998</v>
      </c>
      <c r="F515">
        <v>2.484</v>
      </c>
      <c r="G515">
        <v>78.450999999999993</v>
      </c>
      <c r="H515">
        <v>76.885000000000005</v>
      </c>
      <c r="I515">
        <v>5.2039999999999997</v>
      </c>
      <c r="J515">
        <v>7.23</v>
      </c>
      <c r="K515">
        <v>53543.332999999999</v>
      </c>
      <c r="L515">
        <v>21.74</v>
      </c>
      <c r="N515">
        <v>283.65622499999995</v>
      </c>
      <c r="O515">
        <v>353.15398499999998</v>
      </c>
      <c r="P515">
        <v>903.61146399999984</v>
      </c>
      <c r="Q515">
        <v>711.107936</v>
      </c>
      <c r="R515">
        <f t="shared" si="73"/>
        <v>1.7167780042270531</v>
      </c>
      <c r="S515">
        <v>1.6594145569620253</v>
      </c>
      <c r="T515">
        <v>69.497760000000028</v>
      </c>
      <c r="U515">
        <v>192.50352799999985</v>
      </c>
      <c r="V515">
        <v>550.45747899999992</v>
      </c>
      <c r="W515">
        <v>0.22346098053470145</v>
      </c>
      <c r="Y515">
        <f t="shared" si="74"/>
        <v>1.7925763519465261</v>
      </c>
      <c r="AE515">
        <f t="shared" si="75"/>
        <v>1.2609341877634561</v>
      </c>
    </row>
    <row r="516" spans="1:31" x14ac:dyDescent="0.25">
      <c r="A516">
        <v>535.84199999999998</v>
      </c>
      <c r="B516">
        <v>9.1660000000000004</v>
      </c>
      <c r="C516">
        <v>78.293000000000006</v>
      </c>
      <c r="D516">
        <v>512.56899999999996</v>
      </c>
      <c r="E516">
        <v>346.95299999999997</v>
      </c>
      <c r="F516">
        <v>2.4590000000000001</v>
      </c>
      <c r="G516">
        <v>78.120999999999995</v>
      </c>
      <c r="H516">
        <v>76.676000000000002</v>
      </c>
      <c r="I516">
        <v>5.1130000000000004</v>
      </c>
      <c r="J516">
        <v>8.0259999999999998</v>
      </c>
      <c r="K516">
        <v>53549.398000000001</v>
      </c>
      <c r="L516">
        <v>22.294</v>
      </c>
      <c r="N516">
        <v>283.72757999999993</v>
      </c>
      <c r="O516">
        <v>353.20021499999996</v>
      </c>
      <c r="P516">
        <v>902.00541199999986</v>
      </c>
      <c r="Q516">
        <v>711.87824399999988</v>
      </c>
      <c r="R516">
        <f t="shared" si="73"/>
        <v>1.7140686491944996</v>
      </c>
      <c r="S516">
        <v>1.6588806128179867</v>
      </c>
      <c r="T516">
        <v>69.472635000000025</v>
      </c>
      <c r="U516">
        <v>190.12716799999998</v>
      </c>
      <c r="V516">
        <v>548.80519699999991</v>
      </c>
      <c r="W516">
        <v>0.21984947238026972</v>
      </c>
      <c r="Y516">
        <f t="shared" si="74"/>
        <v>1.7746581004271018</v>
      </c>
      <c r="AE516">
        <f t="shared" si="75"/>
        <v>1.2609341877634561</v>
      </c>
    </row>
    <row r="517" spans="1:31" x14ac:dyDescent="0.25">
      <c r="A517">
        <v>536.84199999999998</v>
      </c>
      <c r="B517">
        <v>9.1630000000000003</v>
      </c>
      <c r="C517">
        <v>78.277000000000001</v>
      </c>
      <c r="D517">
        <v>511.51799999999997</v>
      </c>
      <c r="E517">
        <v>346.94099999999997</v>
      </c>
      <c r="F517">
        <v>2.4529999999999998</v>
      </c>
      <c r="G517">
        <v>78.197000000000003</v>
      </c>
      <c r="H517">
        <v>76.796000000000006</v>
      </c>
      <c r="I517">
        <v>5.1680000000000001</v>
      </c>
      <c r="J517">
        <v>7.0789999999999997</v>
      </c>
      <c r="K517">
        <v>53513.506000000001</v>
      </c>
      <c r="L517">
        <v>21.498999999999999</v>
      </c>
      <c r="N517">
        <v>283.72456499999998</v>
      </c>
      <c r="O517">
        <v>353.18413499999991</v>
      </c>
      <c r="P517">
        <v>900.79886399999975</v>
      </c>
      <c r="Q517">
        <v>711.86446799999987</v>
      </c>
      <c r="R517">
        <f t="shared" ref="R517:R580" si="77">(G517+103.5)/(F517+103.5)</f>
        <v>1.7148830141666587</v>
      </c>
      <c r="S517">
        <v>1.6591452865609009</v>
      </c>
      <c r="T517">
        <v>69.459569999999928</v>
      </c>
      <c r="U517">
        <v>188.93439599999988</v>
      </c>
      <c r="V517">
        <v>547.6147289999999</v>
      </c>
      <c r="W517">
        <v>0.21817314194264481</v>
      </c>
      <c r="Y517">
        <f t="shared" ref="Y517:Y554" si="78">(D517-E517)/((D517+273.15)*(1-(1/S517^(0.333/1.333))))</f>
        <v>1.7653647999874431</v>
      </c>
      <c r="AE517">
        <f t="shared" ref="AE517:AE580" si="79">103500/(287*(12.85+273.15))</f>
        <v>1.2609341877634561</v>
      </c>
    </row>
    <row r="518" spans="1:31" x14ac:dyDescent="0.25">
      <c r="A518">
        <v>537.84199999999998</v>
      </c>
      <c r="B518">
        <v>9.3949999999999996</v>
      </c>
      <c r="C518">
        <v>78.168999999999997</v>
      </c>
      <c r="D518">
        <v>512.029</v>
      </c>
      <c r="E518">
        <v>346.447</v>
      </c>
      <c r="F518">
        <v>2.4470000000000001</v>
      </c>
      <c r="G518">
        <v>78.102000000000004</v>
      </c>
      <c r="H518">
        <v>76.7</v>
      </c>
      <c r="I518">
        <v>5.0919999999999996</v>
      </c>
      <c r="J518">
        <v>6.9279999999999999</v>
      </c>
      <c r="K518">
        <v>53503.178999999996</v>
      </c>
      <c r="L518">
        <v>21.734999999999999</v>
      </c>
      <c r="N518">
        <v>283.95772499999993</v>
      </c>
      <c r="O518">
        <v>353.07559499999991</v>
      </c>
      <c r="P518">
        <v>901.38549199999989</v>
      </c>
      <c r="Q518">
        <v>711.29735599999992</v>
      </c>
      <c r="R518">
        <f t="shared" si="77"/>
        <v>1.714083456822751</v>
      </c>
      <c r="S518">
        <v>1.6594224252246941</v>
      </c>
      <c r="T518">
        <v>69.117869999999982</v>
      </c>
      <c r="U518">
        <v>190.08813599999996</v>
      </c>
      <c r="V518">
        <v>548.30989699999998</v>
      </c>
      <c r="W518">
        <v>0.22062389656264036</v>
      </c>
      <c r="Y518">
        <f t="shared" si="78"/>
        <v>1.7744400694882696</v>
      </c>
      <c r="AE518">
        <f t="shared" si="79"/>
        <v>1.2609341877634561</v>
      </c>
    </row>
    <row r="519" spans="1:31" x14ac:dyDescent="0.25">
      <c r="A519">
        <v>538.84199999999998</v>
      </c>
      <c r="B519">
        <v>9.2769999999999992</v>
      </c>
      <c r="C519">
        <v>78.13</v>
      </c>
      <c r="D519">
        <v>514.51800000000003</v>
      </c>
      <c r="E519">
        <v>346.83499999999998</v>
      </c>
      <c r="F519">
        <v>2.44</v>
      </c>
      <c r="G519">
        <v>77.965999999999994</v>
      </c>
      <c r="H519">
        <v>76.457999999999998</v>
      </c>
      <c r="I519">
        <v>5.0789999999999997</v>
      </c>
      <c r="J519">
        <v>7.6849999999999996</v>
      </c>
      <c r="K519">
        <v>53487.900999999998</v>
      </c>
      <c r="L519">
        <v>21.581</v>
      </c>
      <c r="N519">
        <v>283.83913499999994</v>
      </c>
      <c r="O519">
        <v>353.03639999999996</v>
      </c>
      <c r="P519">
        <v>904.24286399999994</v>
      </c>
      <c r="Q519">
        <v>711.74277999999981</v>
      </c>
      <c r="R519">
        <f t="shared" si="77"/>
        <v>1.7129129696054373</v>
      </c>
      <c r="S519">
        <v>1.657392313430774</v>
      </c>
      <c r="T519">
        <v>69.197265000000016</v>
      </c>
      <c r="U519">
        <v>192.50008400000013</v>
      </c>
      <c r="V519">
        <v>551.20646399999998</v>
      </c>
      <c r="W519">
        <v>0.22369625004978191</v>
      </c>
      <c r="Y519">
        <f t="shared" si="78"/>
        <v>1.7953481228426276</v>
      </c>
      <c r="AE519">
        <f t="shared" si="79"/>
        <v>1.2609341877634561</v>
      </c>
    </row>
    <row r="520" spans="1:31" x14ac:dyDescent="0.25">
      <c r="A520">
        <v>539.84199999999998</v>
      </c>
      <c r="B520">
        <v>9.2669999999999995</v>
      </c>
      <c r="C520">
        <v>78.025999999999996</v>
      </c>
      <c r="D520">
        <v>516.904</v>
      </c>
      <c r="E520">
        <v>346.67500000000001</v>
      </c>
      <c r="F520">
        <v>2.4420000000000002</v>
      </c>
      <c r="G520">
        <v>77.813999999999993</v>
      </c>
      <c r="H520">
        <v>76.319000000000003</v>
      </c>
      <c r="I520">
        <v>5.2</v>
      </c>
      <c r="J520">
        <v>7.6369999999999996</v>
      </c>
      <c r="K520">
        <v>53481.527999999998</v>
      </c>
      <c r="L520">
        <v>21.565000000000001</v>
      </c>
      <c r="N520">
        <v>283.82908499999996</v>
      </c>
      <c r="O520">
        <v>352.93187999999998</v>
      </c>
      <c r="P520">
        <v>906.98199199999988</v>
      </c>
      <c r="Q520">
        <v>711.55909999999994</v>
      </c>
      <c r="R520">
        <f t="shared" si="77"/>
        <v>1.7114458854845103</v>
      </c>
      <c r="S520">
        <v>1.6542686292548299</v>
      </c>
      <c r="T520">
        <v>69.102795000000015</v>
      </c>
      <c r="U520">
        <v>195.42289199999993</v>
      </c>
      <c r="V520">
        <v>554.0501119999999</v>
      </c>
      <c r="W520">
        <v>0.22799399235569498</v>
      </c>
      <c r="Y520">
        <f t="shared" si="78"/>
        <v>1.8234926632594235</v>
      </c>
      <c r="AE520">
        <f t="shared" si="79"/>
        <v>1.2609341877634561</v>
      </c>
    </row>
    <row r="521" spans="1:31" x14ac:dyDescent="0.25">
      <c r="A521">
        <v>540.84199999999998</v>
      </c>
      <c r="B521">
        <v>9.2200000000000006</v>
      </c>
      <c r="C521">
        <v>78.046999999999997</v>
      </c>
      <c r="D521">
        <v>516.60799999999995</v>
      </c>
      <c r="E521">
        <v>346.14600000000002</v>
      </c>
      <c r="F521">
        <v>2.4740000000000002</v>
      </c>
      <c r="G521">
        <v>77.613</v>
      </c>
      <c r="H521">
        <v>76.117000000000004</v>
      </c>
      <c r="I521">
        <v>5.23</v>
      </c>
      <c r="J521">
        <v>7.4480000000000004</v>
      </c>
      <c r="K521">
        <v>53472.000999999997</v>
      </c>
      <c r="L521">
        <v>21.466000000000001</v>
      </c>
      <c r="N521">
        <v>283.78184999999996</v>
      </c>
      <c r="O521">
        <v>352.95298499999996</v>
      </c>
      <c r="P521">
        <v>906.64218399999982</v>
      </c>
      <c r="Q521">
        <v>710.95180800000003</v>
      </c>
      <c r="R521">
        <f t="shared" si="77"/>
        <v>1.7090324041746088</v>
      </c>
      <c r="S521">
        <v>1.651954382415157</v>
      </c>
      <c r="T521">
        <v>69.171134999999992</v>
      </c>
      <c r="U521">
        <v>195.69037599999979</v>
      </c>
      <c r="V521">
        <v>553.68919899999992</v>
      </c>
      <c r="W521">
        <v>0.22850227389030178</v>
      </c>
      <c r="Y521">
        <f t="shared" si="78"/>
        <v>1.8314538437951595</v>
      </c>
      <c r="AE521">
        <f t="shared" si="79"/>
        <v>1.2609341877634561</v>
      </c>
    </row>
    <row r="522" spans="1:31" x14ac:dyDescent="0.25">
      <c r="A522">
        <v>541.84199999999998</v>
      </c>
      <c r="B522">
        <v>9.2810000000000006</v>
      </c>
      <c r="C522">
        <v>78.19</v>
      </c>
      <c r="D522">
        <v>518.89400000000001</v>
      </c>
      <c r="E522">
        <v>346.40600000000001</v>
      </c>
      <c r="F522">
        <v>2.468</v>
      </c>
      <c r="G522">
        <v>77.722999999999999</v>
      </c>
      <c r="H522">
        <v>76.106999999999999</v>
      </c>
      <c r="I522">
        <v>5.2160000000000002</v>
      </c>
      <c r="J522">
        <v>7.5330000000000004</v>
      </c>
      <c r="K522">
        <v>53441.77</v>
      </c>
      <c r="L522">
        <v>21.658000000000001</v>
      </c>
      <c r="N522">
        <v>283.84315499999997</v>
      </c>
      <c r="O522">
        <v>353.09669999999994</v>
      </c>
      <c r="P522">
        <v>909.26651199999992</v>
      </c>
      <c r="Q522">
        <v>711.25028799999995</v>
      </c>
      <c r="R522">
        <f t="shared" si="77"/>
        <v>1.7101672202929188</v>
      </c>
      <c r="S522">
        <v>1.6520751315353768</v>
      </c>
      <c r="T522">
        <v>69.253544999999974</v>
      </c>
      <c r="U522">
        <v>198.01622399999997</v>
      </c>
      <c r="V522">
        <v>556.16981199999998</v>
      </c>
      <c r="W522">
        <v>0.23151684291703339</v>
      </c>
      <c r="Y522">
        <f t="shared" si="78"/>
        <v>1.8476200140887988</v>
      </c>
      <c r="AE522">
        <f t="shared" si="79"/>
        <v>1.2609341877634561</v>
      </c>
    </row>
    <row r="523" spans="1:31" x14ac:dyDescent="0.25">
      <c r="A523">
        <v>542.84199999999998</v>
      </c>
      <c r="B523">
        <v>9.5109999999999992</v>
      </c>
      <c r="C523">
        <v>78.231999999999999</v>
      </c>
      <c r="D523">
        <v>518.34199999999998</v>
      </c>
      <c r="E523">
        <v>345.72899999999998</v>
      </c>
      <c r="F523">
        <v>2.4540000000000002</v>
      </c>
      <c r="G523">
        <v>77.856999999999999</v>
      </c>
      <c r="H523">
        <v>76.338999999999999</v>
      </c>
      <c r="I523">
        <v>5.1429999999999998</v>
      </c>
      <c r="J523">
        <v>7.1550000000000002</v>
      </c>
      <c r="K523">
        <v>53419.610999999997</v>
      </c>
      <c r="L523">
        <v>21.196999999999999</v>
      </c>
      <c r="N523">
        <v>284.07430499999998</v>
      </c>
      <c r="O523">
        <v>353.1389099999999</v>
      </c>
      <c r="P523">
        <v>908.63281599999993</v>
      </c>
      <c r="Q523">
        <v>710.47309199999984</v>
      </c>
      <c r="R523">
        <f t="shared" si="77"/>
        <v>1.7116578892727032</v>
      </c>
      <c r="S523">
        <v>1.6553206373167162</v>
      </c>
      <c r="T523">
        <v>69.064604999999915</v>
      </c>
      <c r="U523">
        <v>198.1597240000001</v>
      </c>
      <c r="V523">
        <v>555.49390600000004</v>
      </c>
      <c r="W523">
        <v>0.23239700310951777</v>
      </c>
      <c r="Y523">
        <f t="shared" si="78"/>
        <v>1.8434859103097441</v>
      </c>
      <c r="AE523">
        <f t="shared" si="79"/>
        <v>1.2609341877634561</v>
      </c>
    </row>
    <row r="524" spans="1:31" x14ac:dyDescent="0.25">
      <c r="A524">
        <v>543.84199999999998</v>
      </c>
      <c r="B524">
        <v>9.6489999999999991</v>
      </c>
      <c r="C524">
        <v>78.397999999999996</v>
      </c>
      <c r="D524">
        <v>517.00900000000001</v>
      </c>
      <c r="E524">
        <v>345.93799999999999</v>
      </c>
      <c r="F524">
        <v>2.4860000000000002</v>
      </c>
      <c r="G524">
        <v>78.096999999999994</v>
      </c>
      <c r="H524">
        <v>76.527000000000001</v>
      </c>
      <c r="I524">
        <v>5.1840000000000002</v>
      </c>
      <c r="J524">
        <v>8.0640000000000001</v>
      </c>
      <c r="K524">
        <v>53428.474999999999</v>
      </c>
      <c r="L524">
        <v>20.983000000000001</v>
      </c>
      <c r="N524">
        <v>284.21299499999992</v>
      </c>
      <c r="O524">
        <v>353.30573999999996</v>
      </c>
      <c r="P524">
        <v>907.10253199999988</v>
      </c>
      <c r="Q524">
        <v>710.7130239999999</v>
      </c>
      <c r="R524">
        <f t="shared" si="77"/>
        <v>1.7134055441284695</v>
      </c>
      <c r="S524">
        <v>1.6564259688638621</v>
      </c>
      <c r="T524">
        <v>69.092745000000036</v>
      </c>
      <c r="U524">
        <v>196.38950799999998</v>
      </c>
      <c r="V524">
        <v>553.79679199999987</v>
      </c>
      <c r="W524">
        <v>0.22986186420523716</v>
      </c>
      <c r="Y524">
        <f t="shared" si="78"/>
        <v>1.8278282233039396</v>
      </c>
      <c r="AE524">
        <f t="shared" si="79"/>
        <v>1.2609341877634561</v>
      </c>
    </row>
    <row r="525" spans="1:31" x14ac:dyDescent="0.25">
      <c r="A525">
        <v>544.84199999999998</v>
      </c>
      <c r="B525">
        <v>9.6920000000000002</v>
      </c>
      <c r="C525">
        <v>78.265000000000001</v>
      </c>
      <c r="D525">
        <v>516.64</v>
      </c>
      <c r="E525">
        <v>345.89600000000002</v>
      </c>
      <c r="F525">
        <v>2.472</v>
      </c>
      <c r="G525">
        <v>78.191999999999993</v>
      </c>
      <c r="H525">
        <v>76.62</v>
      </c>
      <c r="I525">
        <v>4.9770000000000003</v>
      </c>
      <c r="J525">
        <v>8.2149999999999999</v>
      </c>
      <c r="K525">
        <v>53434.620999999999</v>
      </c>
      <c r="L525">
        <v>21.350999999999999</v>
      </c>
      <c r="N525">
        <v>284.25620999999995</v>
      </c>
      <c r="O525">
        <v>353.17207499999995</v>
      </c>
      <c r="P525">
        <v>906.67891999999983</v>
      </c>
      <c r="Q525">
        <v>710.66480799999999</v>
      </c>
      <c r="R525">
        <f t="shared" si="77"/>
        <v>1.7145283659834676</v>
      </c>
      <c r="S525">
        <v>1.6604441494510356</v>
      </c>
      <c r="T525">
        <v>68.915864999999997</v>
      </c>
      <c r="U525">
        <v>196.01411199999984</v>
      </c>
      <c r="V525">
        <v>553.50684499999988</v>
      </c>
      <c r="W525">
        <v>0.22962362281174656</v>
      </c>
      <c r="Y525">
        <f t="shared" si="78"/>
        <v>1.8170041054588926</v>
      </c>
      <c r="AE525">
        <f t="shared" si="79"/>
        <v>1.2609341877634561</v>
      </c>
    </row>
    <row r="526" spans="1:31" x14ac:dyDescent="0.25">
      <c r="A526">
        <v>545.84199999999998</v>
      </c>
      <c r="B526">
        <v>9.84</v>
      </c>
      <c r="C526">
        <v>78.290999999999997</v>
      </c>
      <c r="D526">
        <v>517.86800000000005</v>
      </c>
      <c r="E526">
        <v>346.35599999999999</v>
      </c>
      <c r="F526">
        <v>2.4550000000000001</v>
      </c>
      <c r="G526">
        <v>77.995999999999995</v>
      </c>
      <c r="H526">
        <v>76.433999999999997</v>
      </c>
      <c r="I526">
        <v>5.0590000000000002</v>
      </c>
      <c r="J526">
        <v>8.1010000000000009</v>
      </c>
      <c r="K526">
        <v>53438.406000000003</v>
      </c>
      <c r="L526">
        <v>21.8</v>
      </c>
      <c r="N526">
        <v>284.40494999999993</v>
      </c>
      <c r="O526">
        <v>353.19820499999992</v>
      </c>
      <c r="P526">
        <v>908.08866399999999</v>
      </c>
      <c r="Q526">
        <v>711.19288799999993</v>
      </c>
      <c r="R526">
        <f t="shared" si="77"/>
        <v>1.712953612382615</v>
      </c>
      <c r="S526">
        <v>1.6574765795558175</v>
      </c>
      <c r="T526">
        <v>68.793254999999988</v>
      </c>
      <c r="U526">
        <v>196.89577600000007</v>
      </c>
      <c r="V526">
        <v>554.89045900000008</v>
      </c>
      <c r="W526">
        <v>0.23086091844300402</v>
      </c>
      <c r="Y526">
        <f t="shared" si="78"/>
        <v>1.8283948283894316</v>
      </c>
      <c r="AE526">
        <f t="shared" si="79"/>
        <v>1.2609341877634561</v>
      </c>
    </row>
    <row r="527" spans="1:31" x14ac:dyDescent="0.25">
      <c r="A527">
        <v>546.84199999999998</v>
      </c>
      <c r="B527">
        <v>9.9550000000000001</v>
      </c>
      <c r="C527">
        <v>78.271000000000001</v>
      </c>
      <c r="D527">
        <v>516.81899999999996</v>
      </c>
      <c r="E527">
        <v>346.10500000000002</v>
      </c>
      <c r="F527">
        <v>2.4620000000000002</v>
      </c>
      <c r="G527">
        <v>78.117999999999995</v>
      </c>
      <c r="H527">
        <v>76.489000000000004</v>
      </c>
      <c r="I527">
        <v>5.1539999999999999</v>
      </c>
      <c r="J527">
        <v>8.0069999999999997</v>
      </c>
      <c r="K527">
        <v>53427.665999999997</v>
      </c>
      <c r="L527">
        <v>21.783999999999999</v>
      </c>
      <c r="N527">
        <v>284.52052499999991</v>
      </c>
      <c r="O527">
        <v>353.17810499999996</v>
      </c>
      <c r="P527">
        <v>906.88441199999988</v>
      </c>
      <c r="Q527">
        <v>710.90473999999995</v>
      </c>
      <c r="R527">
        <f t="shared" si="77"/>
        <v>1.7139918083841377</v>
      </c>
      <c r="S527">
        <v>1.6565335836692621</v>
      </c>
      <c r="T527">
        <v>68.657580000000053</v>
      </c>
      <c r="U527">
        <v>195.97967199999994</v>
      </c>
      <c r="V527">
        <v>553.70630699999992</v>
      </c>
      <c r="W527">
        <v>0.22994517199891656</v>
      </c>
      <c r="Y527">
        <f t="shared" si="78"/>
        <v>1.8242321764617586</v>
      </c>
      <c r="AE527">
        <f t="shared" si="79"/>
        <v>1.2609341877634561</v>
      </c>
    </row>
    <row r="528" spans="1:31" x14ac:dyDescent="0.25">
      <c r="A528">
        <v>547.84199999999998</v>
      </c>
      <c r="B528">
        <v>9.9220000000000006</v>
      </c>
      <c r="C528">
        <v>78.403000000000006</v>
      </c>
      <c r="D528">
        <v>517.33100000000002</v>
      </c>
      <c r="E528">
        <v>346.36099999999999</v>
      </c>
      <c r="F528">
        <v>2.4609999999999999</v>
      </c>
      <c r="G528">
        <v>78.113</v>
      </c>
      <c r="H528">
        <v>76.53</v>
      </c>
      <c r="I528">
        <v>5.2190000000000003</v>
      </c>
      <c r="J528">
        <v>8.1319999999999997</v>
      </c>
      <c r="K528">
        <v>53437.169000000002</v>
      </c>
      <c r="L528">
        <v>21.96</v>
      </c>
      <c r="N528">
        <v>284.48735999999997</v>
      </c>
      <c r="O528">
        <v>353.31076499999995</v>
      </c>
      <c r="P528">
        <v>907.47218799999996</v>
      </c>
      <c r="Q528">
        <v>711.19862799999987</v>
      </c>
      <c r="R528">
        <f t="shared" si="77"/>
        <v>1.7139607968969715</v>
      </c>
      <c r="S528">
        <v>1.6559203083177734</v>
      </c>
      <c r="T528">
        <v>68.82340499999998</v>
      </c>
      <c r="U528">
        <v>196.27356000000009</v>
      </c>
      <c r="V528">
        <v>554.16142300000001</v>
      </c>
      <c r="W528">
        <v>0.22998741830500913</v>
      </c>
      <c r="Y528">
        <f t="shared" si="78"/>
        <v>1.8270421362805218</v>
      </c>
      <c r="AE528">
        <f t="shared" si="79"/>
        <v>1.2609341877634561</v>
      </c>
    </row>
    <row r="529" spans="1:31" x14ac:dyDescent="0.25">
      <c r="A529">
        <v>548.84199999999998</v>
      </c>
      <c r="B529">
        <v>9.5790000000000006</v>
      </c>
      <c r="C529">
        <v>78.316999999999993</v>
      </c>
      <c r="D529">
        <v>517.67499999999995</v>
      </c>
      <c r="E529">
        <v>346.94400000000002</v>
      </c>
      <c r="F529">
        <v>2.4630000000000001</v>
      </c>
      <c r="G529">
        <v>78.323999999999998</v>
      </c>
      <c r="H529">
        <v>76.768000000000001</v>
      </c>
      <c r="I529">
        <v>5.0270000000000001</v>
      </c>
      <c r="J529">
        <v>7.2679999999999998</v>
      </c>
      <c r="K529">
        <v>53448.305</v>
      </c>
      <c r="L529">
        <v>21.608000000000001</v>
      </c>
      <c r="N529">
        <v>284.14264499999996</v>
      </c>
      <c r="O529">
        <v>353.22433499999994</v>
      </c>
      <c r="P529">
        <v>907.86709999999982</v>
      </c>
      <c r="Q529">
        <v>711.86791200000005</v>
      </c>
      <c r="R529">
        <f t="shared" si="77"/>
        <v>1.7159197078225421</v>
      </c>
      <c r="S529">
        <v>1.6610428741234899</v>
      </c>
      <c r="T529">
        <v>69.081689999999981</v>
      </c>
      <c r="U529">
        <v>195.99918799999978</v>
      </c>
      <c r="V529">
        <v>554.64276499999983</v>
      </c>
      <c r="W529">
        <v>0.22882746518833583</v>
      </c>
      <c r="Y529">
        <f t="shared" si="78"/>
        <v>1.8132787424233474</v>
      </c>
      <c r="AE529">
        <f t="shared" si="79"/>
        <v>1.2609341877634561</v>
      </c>
    </row>
    <row r="530" spans="1:31" x14ac:dyDescent="0.25">
      <c r="A530">
        <v>549.84199999999998</v>
      </c>
      <c r="B530">
        <v>9.3140000000000001</v>
      </c>
      <c r="C530">
        <v>78.328999999999994</v>
      </c>
      <c r="D530">
        <v>516.77200000000005</v>
      </c>
      <c r="E530">
        <v>346.98200000000003</v>
      </c>
      <c r="F530">
        <v>2.4340000000000002</v>
      </c>
      <c r="G530">
        <v>77.463999999999999</v>
      </c>
      <c r="H530">
        <v>76.165000000000006</v>
      </c>
      <c r="I530">
        <v>5.0279999999999996</v>
      </c>
      <c r="J530">
        <v>6.7380000000000004</v>
      </c>
      <c r="K530">
        <v>53435.074000000001</v>
      </c>
      <c r="L530">
        <v>21.658000000000001</v>
      </c>
      <c r="N530">
        <v>283.87631999999996</v>
      </c>
      <c r="O530">
        <v>353.23639499999996</v>
      </c>
      <c r="P530">
        <v>906.83045599999991</v>
      </c>
      <c r="Q530">
        <v>711.91153600000007</v>
      </c>
      <c r="R530">
        <f t="shared" si="77"/>
        <v>1.7082711877206562</v>
      </c>
      <c r="S530">
        <v>1.6554713990859502</v>
      </c>
      <c r="T530">
        <v>69.360074999999995</v>
      </c>
      <c r="U530">
        <v>194.91891999999984</v>
      </c>
      <c r="V530">
        <v>553.59406100000001</v>
      </c>
      <c r="W530">
        <v>0.22680670521138385</v>
      </c>
      <c r="Y530">
        <f t="shared" si="78"/>
        <v>1.81663265383856</v>
      </c>
      <c r="AE530">
        <f t="shared" si="79"/>
        <v>1.2609341877634561</v>
      </c>
    </row>
    <row r="531" spans="1:31" x14ac:dyDescent="0.25">
      <c r="A531">
        <v>550.84199999999998</v>
      </c>
      <c r="B531">
        <v>9.0990000000000002</v>
      </c>
      <c r="C531">
        <v>78.155000000000001</v>
      </c>
      <c r="D531">
        <v>515.62199999999996</v>
      </c>
      <c r="E531">
        <v>346.49400000000003</v>
      </c>
      <c r="F531">
        <v>2.44</v>
      </c>
      <c r="G531">
        <v>77.91</v>
      </c>
      <c r="H531">
        <v>76.421000000000006</v>
      </c>
      <c r="I531">
        <v>5.1539999999999999</v>
      </c>
      <c r="J531">
        <v>8.4789999999999992</v>
      </c>
      <c r="K531">
        <v>53396.885000000002</v>
      </c>
      <c r="L531">
        <v>22.212</v>
      </c>
      <c r="N531">
        <v>283.66024499999992</v>
      </c>
      <c r="O531">
        <v>353.0615249999999</v>
      </c>
      <c r="P531">
        <v>905.5102559999998</v>
      </c>
      <c r="Q531">
        <v>711.35131199999989</v>
      </c>
      <c r="R531">
        <f t="shared" si="77"/>
        <v>1.7123843685104776</v>
      </c>
      <c r="S531">
        <v>1.6559077438474423</v>
      </c>
      <c r="T531">
        <v>69.401279999999986</v>
      </c>
      <c r="U531">
        <v>194.15894399999991</v>
      </c>
      <c r="V531">
        <v>552.44873099999995</v>
      </c>
      <c r="W531">
        <v>0.22582668218673116</v>
      </c>
      <c r="Y531">
        <f t="shared" si="78"/>
        <v>1.811299410550661</v>
      </c>
      <c r="AE531">
        <f t="shared" si="79"/>
        <v>1.2609341877634561</v>
      </c>
    </row>
    <row r="532" spans="1:31" x14ac:dyDescent="0.25">
      <c r="A532">
        <v>551.84199999999998</v>
      </c>
      <c r="B532">
        <v>8.9269999999999996</v>
      </c>
      <c r="C532">
        <v>78.007999999999996</v>
      </c>
      <c r="D532">
        <v>512.58000000000004</v>
      </c>
      <c r="E532">
        <v>346.14499999999998</v>
      </c>
      <c r="F532">
        <v>2.4420000000000002</v>
      </c>
      <c r="G532">
        <v>77.727999999999994</v>
      </c>
      <c r="H532">
        <v>76.11</v>
      </c>
      <c r="I532">
        <v>5.0199999999999996</v>
      </c>
      <c r="J532">
        <v>6.89</v>
      </c>
      <c r="K532">
        <v>53370.286</v>
      </c>
      <c r="L532">
        <v>22.311</v>
      </c>
      <c r="N532">
        <v>283.48738499999996</v>
      </c>
      <c r="O532">
        <v>352.91378999999995</v>
      </c>
      <c r="P532">
        <v>902.01803999999993</v>
      </c>
      <c r="Q532">
        <v>710.95065999999986</v>
      </c>
      <c r="R532">
        <f t="shared" si="77"/>
        <v>1.710634120556531</v>
      </c>
      <c r="S532">
        <v>1.6550866199778844</v>
      </c>
      <c r="T532">
        <v>69.426404999999988</v>
      </c>
      <c r="U532">
        <v>191.06738000000007</v>
      </c>
      <c r="V532">
        <v>549.10424999999998</v>
      </c>
      <c r="W532">
        <v>0.22152619470710724</v>
      </c>
      <c r="Y532">
        <f t="shared" si="78"/>
        <v>1.7910120812255772</v>
      </c>
      <c r="AE532">
        <f t="shared" si="79"/>
        <v>1.2609341877634561</v>
      </c>
    </row>
    <row r="533" spans="1:31" x14ac:dyDescent="0.25">
      <c r="A533">
        <v>552.84199999999998</v>
      </c>
      <c r="B533">
        <v>8.7460000000000004</v>
      </c>
      <c r="C533">
        <v>77.728999999999999</v>
      </c>
      <c r="D533">
        <v>509.54399999999998</v>
      </c>
      <c r="E533">
        <v>346.32499999999999</v>
      </c>
      <c r="F533">
        <v>2.4020000000000001</v>
      </c>
      <c r="G533">
        <v>77.274000000000001</v>
      </c>
      <c r="H533">
        <v>75.954999999999998</v>
      </c>
      <c r="I533">
        <v>5.0519999999999996</v>
      </c>
      <c r="J533">
        <v>7.3440000000000003</v>
      </c>
      <c r="K533">
        <v>53330.317000000003</v>
      </c>
      <c r="L533">
        <v>20.879000000000001</v>
      </c>
      <c r="N533">
        <v>283.30547999999993</v>
      </c>
      <c r="O533">
        <v>352.63339499999995</v>
      </c>
      <c r="P533">
        <v>898.53271199999983</v>
      </c>
      <c r="Q533">
        <v>711.15729999999985</v>
      </c>
      <c r="R533">
        <f t="shared" si="77"/>
        <v>1.7069932579176974</v>
      </c>
      <c r="S533">
        <v>1.6531708305696808</v>
      </c>
      <c r="T533">
        <v>69.327915000000019</v>
      </c>
      <c r="U533">
        <v>187.37541199999998</v>
      </c>
      <c r="V533">
        <v>545.89931699999988</v>
      </c>
      <c r="W533">
        <v>0.21624408260617037</v>
      </c>
      <c r="Y533">
        <f t="shared" si="78"/>
        <v>1.7670296266653205</v>
      </c>
      <c r="AE533">
        <f t="shared" si="79"/>
        <v>1.2609341877634561</v>
      </c>
    </row>
    <row r="534" spans="1:31" x14ac:dyDescent="0.25">
      <c r="A534">
        <v>553.84199999999998</v>
      </c>
      <c r="B534">
        <v>8.51</v>
      </c>
      <c r="C534">
        <v>77.558000000000007</v>
      </c>
      <c r="D534">
        <v>509.19200000000001</v>
      </c>
      <c r="E534">
        <v>346.52100000000002</v>
      </c>
      <c r="F534">
        <v>2.4380000000000002</v>
      </c>
      <c r="G534">
        <v>77.659000000000006</v>
      </c>
      <c r="H534">
        <v>76.117000000000004</v>
      </c>
      <c r="I534">
        <v>5.1340000000000003</v>
      </c>
      <c r="J534">
        <v>7.3849999999999998</v>
      </c>
      <c r="K534">
        <v>53285.052000000003</v>
      </c>
      <c r="L534">
        <v>21.608000000000001</v>
      </c>
      <c r="N534">
        <v>283.06829999999997</v>
      </c>
      <c r="O534">
        <v>352.46153999999996</v>
      </c>
      <c r="P534">
        <v>898.12861599999997</v>
      </c>
      <c r="Q534">
        <v>711.38230799999997</v>
      </c>
      <c r="R534">
        <f t="shared" si="77"/>
        <v>1.7100473862070267</v>
      </c>
      <c r="S534">
        <v>1.6534142165436236</v>
      </c>
      <c r="T534">
        <v>69.393239999999992</v>
      </c>
      <c r="U534">
        <v>186.746308</v>
      </c>
      <c r="V534">
        <v>545.66707599999995</v>
      </c>
      <c r="W534">
        <v>0.21506349413685355</v>
      </c>
      <c r="Y534">
        <f t="shared" si="78"/>
        <v>1.7614051782518176</v>
      </c>
      <c r="AE534">
        <f t="shared" si="79"/>
        <v>1.2609341877634561</v>
      </c>
    </row>
    <row r="535" spans="1:31" x14ac:dyDescent="0.25">
      <c r="A535">
        <v>554.84199999999998</v>
      </c>
      <c r="B535">
        <v>8.2929999999999993</v>
      </c>
      <c r="C535">
        <v>77.474999999999994</v>
      </c>
      <c r="D535">
        <v>505.08199999999999</v>
      </c>
      <c r="E535">
        <v>345.78</v>
      </c>
      <c r="F535">
        <v>2.4119999999999999</v>
      </c>
      <c r="G535">
        <v>77.87</v>
      </c>
      <c r="H535">
        <v>76.39</v>
      </c>
      <c r="I535">
        <v>5.1630000000000003</v>
      </c>
      <c r="J535">
        <v>7.798</v>
      </c>
      <c r="K535">
        <v>53267.881999999998</v>
      </c>
      <c r="L535">
        <v>21.12</v>
      </c>
      <c r="N535">
        <v>282.85021499999993</v>
      </c>
      <c r="O535">
        <v>352.37812499999995</v>
      </c>
      <c r="P535">
        <v>893.41033599999992</v>
      </c>
      <c r="Q535">
        <v>710.53163999999992</v>
      </c>
      <c r="R535">
        <f t="shared" si="77"/>
        <v>1.712459400256817</v>
      </c>
      <c r="S535">
        <v>1.6554853077864591</v>
      </c>
      <c r="T535">
        <v>69.52791000000002</v>
      </c>
      <c r="U535">
        <v>182.87869599999999</v>
      </c>
      <c r="V535">
        <v>541.03221099999996</v>
      </c>
      <c r="W535">
        <v>0.20950838729267449</v>
      </c>
      <c r="Y535">
        <f t="shared" si="78"/>
        <v>1.729993889238022</v>
      </c>
      <c r="AE535">
        <f t="shared" si="79"/>
        <v>1.2609341877634561</v>
      </c>
    </row>
    <row r="536" spans="1:31" x14ac:dyDescent="0.25">
      <c r="A536">
        <v>555.84199999999998</v>
      </c>
      <c r="B536">
        <v>8.2159999999999993</v>
      </c>
      <c r="C536">
        <v>77.468999999999994</v>
      </c>
      <c r="D536">
        <v>504.69</v>
      </c>
      <c r="E536">
        <v>345.39400000000001</v>
      </c>
      <c r="F536">
        <v>2.4529999999999998</v>
      </c>
      <c r="G536">
        <v>77.781000000000006</v>
      </c>
      <c r="H536">
        <v>76.225999999999999</v>
      </c>
      <c r="I536">
        <v>5.1070000000000002</v>
      </c>
      <c r="J536">
        <v>7.5330000000000004</v>
      </c>
      <c r="K536">
        <v>53276.260999999999</v>
      </c>
      <c r="L536">
        <v>21.312000000000001</v>
      </c>
      <c r="N536">
        <v>282.77282999999994</v>
      </c>
      <c r="O536">
        <v>352.37209499999994</v>
      </c>
      <c r="P536">
        <v>892.9603199999998</v>
      </c>
      <c r="Q536">
        <v>710.08851199999992</v>
      </c>
      <c r="R536">
        <f t="shared" si="77"/>
        <v>1.710956744971827</v>
      </c>
      <c r="S536">
        <v>1.6548288784332501</v>
      </c>
      <c r="T536">
        <v>69.599265000000003</v>
      </c>
      <c r="U536">
        <v>182.87180799999987</v>
      </c>
      <c r="V536">
        <v>540.58822499999985</v>
      </c>
      <c r="W536">
        <v>0.20953572009453203</v>
      </c>
      <c r="Y536">
        <f t="shared" si="78"/>
        <v>1.7320793200399911</v>
      </c>
      <c r="AE536">
        <f t="shared" si="79"/>
        <v>1.2609341877634561</v>
      </c>
    </row>
    <row r="537" spans="1:31" x14ac:dyDescent="0.25">
      <c r="A537">
        <v>556.84199999999998</v>
      </c>
      <c r="B537">
        <v>8.1630000000000003</v>
      </c>
      <c r="C537">
        <v>77.394999999999996</v>
      </c>
      <c r="D537">
        <v>506.53899999999999</v>
      </c>
      <c r="E537">
        <v>345.642</v>
      </c>
      <c r="F537">
        <v>2.4750000000000001</v>
      </c>
      <c r="G537">
        <v>77.863</v>
      </c>
      <c r="H537">
        <v>76.400000000000006</v>
      </c>
      <c r="I537">
        <v>5.1020000000000003</v>
      </c>
      <c r="J537">
        <v>7.2690000000000001</v>
      </c>
      <c r="K537">
        <v>53286.71</v>
      </c>
      <c r="L537">
        <v>21.876999999999999</v>
      </c>
      <c r="N537">
        <v>282.71956499999993</v>
      </c>
      <c r="O537">
        <v>352.2977249999999</v>
      </c>
      <c r="P537">
        <v>895.08297199999993</v>
      </c>
      <c r="Q537">
        <v>710.37321599999984</v>
      </c>
      <c r="R537">
        <f t="shared" si="77"/>
        <v>1.7113753243689551</v>
      </c>
      <c r="S537">
        <v>1.6565072466437083</v>
      </c>
      <c r="T537">
        <v>69.578159999999968</v>
      </c>
      <c r="U537">
        <v>184.70975600000008</v>
      </c>
      <c r="V537">
        <v>542.78524700000003</v>
      </c>
      <c r="W537">
        <v>0.21211261108576171</v>
      </c>
      <c r="Y537">
        <f t="shared" si="78"/>
        <v>1.7420491257309438</v>
      </c>
      <c r="AE537">
        <f t="shared" si="79"/>
        <v>1.2609341877634561</v>
      </c>
    </row>
    <row r="538" spans="1:31" x14ac:dyDescent="0.25">
      <c r="A538">
        <v>557.84199999999998</v>
      </c>
      <c r="B538">
        <v>8.2460000000000004</v>
      </c>
      <c r="C538">
        <v>77.462999999999994</v>
      </c>
      <c r="D538">
        <v>506.51499999999999</v>
      </c>
      <c r="E538">
        <v>345.601</v>
      </c>
      <c r="F538">
        <v>2.48</v>
      </c>
      <c r="G538">
        <v>78.248999999999995</v>
      </c>
      <c r="H538">
        <v>76.751999999999995</v>
      </c>
      <c r="I538">
        <v>5.4169999999999998</v>
      </c>
      <c r="J538">
        <v>7.117</v>
      </c>
      <c r="K538">
        <v>53331.707999999999</v>
      </c>
      <c r="L538">
        <v>21.532</v>
      </c>
      <c r="N538">
        <v>282.80297999999993</v>
      </c>
      <c r="O538">
        <v>352.36606499999988</v>
      </c>
      <c r="P538">
        <v>895.05541999999991</v>
      </c>
      <c r="Q538">
        <v>710.32614799999988</v>
      </c>
      <c r="R538">
        <f t="shared" si="77"/>
        <v>1.7149367805246272</v>
      </c>
      <c r="S538">
        <v>1.6549482633565009</v>
      </c>
      <c r="T538">
        <v>69.563084999999944</v>
      </c>
      <c r="U538">
        <v>184.72927200000004</v>
      </c>
      <c r="V538">
        <v>542.68935499999998</v>
      </c>
      <c r="W538">
        <v>0.21221383087567675</v>
      </c>
      <c r="Y538">
        <f t="shared" si="78"/>
        <v>1.7453422652284158</v>
      </c>
      <c r="AE538">
        <f t="shared" si="79"/>
        <v>1.2609341877634561</v>
      </c>
    </row>
    <row r="539" spans="1:31" x14ac:dyDescent="0.25">
      <c r="A539">
        <v>558.84199999999998</v>
      </c>
      <c r="B539">
        <v>8.3330000000000002</v>
      </c>
      <c r="C539">
        <v>77.465000000000003</v>
      </c>
      <c r="D539">
        <v>505.14299999999997</v>
      </c>
      <c r="E539">
        <v>345.79500000000002</v>
      </c>
      <c r="F539">
        <v>2.4660000000000002</v>
      </c>
      <c r="G539">
        <v>77.981999999999999</v>
      </c>
      <c r="H539">
        <v>76.400999999999996</v>
      </c>
      <c r="I539">
        <v>5.1890000000000001</v>
      </c>
      <c r="J539">
        <v>7.5330000000000004</v>
      </c>
      <c r="K539">
        <v>53359.690999999999</v>
      </c>
      <c r="L539">
        <v>21.876999999999999</v>
      </c>
      <c r="N539">
        <v>282.89041499999996</v>
      </c>
      <c r="O539">
        <v>352.36807499999998</v>
      </c>
      <c r="P539">
        <v>893.48036399999978</v>
      </c>
      <c r="Q539">
        <v>710.54885999999988</v>
      </c>
      <c r="R539">
        <f t="shared" si="77"/>
        <v>1.7126436781609196</v>
      </c>
      <c r="S539">
        <v>1.6551904976584568</v>
      </c>
      <c r="T539">
        <v>69.477660000000014</v>
      </c>
      <c r="U539">
        <v>182.9315039999999</v>
      </c>
      <c r="V539">
        <v>541.11228899999981</v>
      </c>
      <c r="W539">
        <v>0.20966783846226772</v>
      </c>
      <c r="Y539">
        <f t="shared" si="78"/>
        <v>1.7309316656909097</v>
      </c>
      <c r="AE539">
        <f t="shared" si="79"/>
        <v>1.2609341877634561</v>
      </c>
    </row>
    <row r="540" spans="1:31" x14ac:dyDescent="0.25">
      <c r="A540">
        <v>559.84199999999998</v>
      </c>
      <c r="B540">
        <v>8.3629999999999995</v>
      </c>
      <c r="C540">
        <v>77.528999999999996</v>
      </c>
      <c r="D540">
        <v>505.69</v>
      </c>
      <c r="E540">
        <v>345.67099999999999</v>
      </c>
      <c r="F540">
        <v>2.4390000000000001</v>
      </c>
      <c r="G540">
        <v>77.730999999999995</v>
      </c>
      <c r="H540">
        <v>76.224000000000004</v>
      </c>
      <c r="I540">
        <v>5.1429999999999998</v>
      </c>
      <c r="J540">
        <v>7.95</v>
      </c>
      <c r="K540">
        <v>53371.514999999999</v>
      </c>
      <c r="L540">
        <v>22.003</v>
      </c>
      <c r="N540">
        <v>282.92056499999995</v>
      </c>
      <c r="O540">
        <v>352.43239499999993</v>
      </c>
      <c r="P540">
        <v>894.10831999999982</v>
      </c>
      <c r="Q540">
        <v>710.4065079999998</v>
      </c>
      <c r="R540">
        <f t="shared" si="77"/>
        <v>1.7107108807898885</v>
      </c>
      <c r="S540">
        <v>1.654262124573143</v>
      </c>
      <c r="T540">
        <v>69.511829999999975</v>
      </c>
      <c r="U540">
        <v>183.70181200000002</v>
      </c>
      <c r="V540">
        <v>541.67592499999989</v>
      </c>
      <c r="W540">
        <v>0.2108086712548653</v>
      </c>
      <c r="Y540">
        <f t="shared" si="78"/>
        <v>1.7388164345383332</v>
      </c>
      <c r="AE540">
        <f t="shared" si="79"/>
        <v>1.2609341877634561</v>
      </c>
    </row>
    <row r="541" spans="1:31" x14ac:dyDescent="0.25">
      <c r="A541">
        <v>560.84199999999998</v>
      </c>
      <c r="B541">
        <v>8.3659999999999997</v>
      </c>
      <c r="C541">
        <v>77.503</v>
      </c>
      <c r="D541">
        <v>507.96800000000002</v>
      </c>
      <c r="E541">
        <v>346.04</v>
      </c>
      <c r="F541">
        <v>2.4249999999999998</v>
      </c>
      <c r="G541">
        <v>77.825999999999993</v>
      </c>
      <c r="H541">
        <v>76.335999999999999</v>
      </c>
      <c r="I541">
        <v>5.1349999999999998</v>
      </c>
      <c r="J541">
        <v>7.1280000000000001</v>
      </c>
      <c r="K541">
        <v>53368.231</v>
      </c>
      <c r="L541">
        <v>21.751000000000001</v>
      </c>
      <c r="N541">
        <v>282.92357999999996</v>
      </c>
      <c r="O541">
        <v>352.40626499999991</v>
      </c>
      <c r="P541">
        <v>896.72346399999981</v>
      </c>
      <c r="Q541">
        <v>710.83011999999997</v>
      </c>
      <c r="R541">
        <f t="shared" si="77"/>
        <v>1.7118338447014396</v>
      </c>
      <c r="S541">
        <v>1.6554149215262117</v>
      </c>
      <c r="T541">
        <v>69.482684999999947</v>
      </c>
      <c r="U541">
        <v>185.89334399999984</v>
      </c>
      <c r="V541">
        <v>544.31719899999985</v>
      </c>
      <c r="W541">
        <v>0.2138654799331445</v>
      </c>
      <c r="Y541">
        <f t="shared" si="78"/>
        <v>1.7521533186747236</v>
      </c>
      <c r="AE541">
        <f t="shared" si="79"/>
        <v>1.2609341877634561</v>
      </c>
    </row>
    <row r="542" spans="1:31" x14ac:dyDescent="0.25">
      <c r="A542">
        <v>561.84199999999998</v>
      </c>
      <c r="B542">
        <v>8.3170000000000002</v>
      </c>
      <c r="C542">
        <v>77.471000000000004</v>
      </c>
      <c r="D542">
        <v>506.91</v>
      </c>
      <c r="E542">
        <v>345.27199999999999</v>
      </c>
      <c r="F542">
        <v>2.4329999999999998</v>
      </c>
      <c r="G542">
        <v>78.138999999999996</v>
      </c>
      <c r="H542">
        <v>76.665999999999997</v>
      </c>
      <c r="I542">
        <v>5.2549999999999999</v>
      </c>
      <c r="J542">
        <v>7.7229999999999999</v>
      </c>
      <c r="K542">
        <v>53360.968999999997</v>
      </c>
      <c r="L542">
        <v>21.323</v>
      </c>
      <c r="N542">
        <v>282.87433499999997</v>
      </c>
      <c r="O542">
        <v>352.37410499999993</v>
      </c>
      <c r="P542">
        <v>895.50887999999986</v>
      </c>
      <c r="Q542">
        <v>709.94845599999996</v>
      </c>
      <c r="R542">
        <f t="shared" si="77"/>
        <v>1.7146592657623216</v>
      </c>
      <c r="S542">
        <v>1.6566226840145282</v>
      </c>
      <c r="T542">
        <v>69.499769999999955</v>
      </c>
      <c r="U542">
        <v>185.5604239999999</v>
      </c>
      <c r="V542">
        <v>543.13477499999999</v>
      </c>
      <c r="W542">
        <v>0.21368665631840633</v>
      </c>
      <c r="Y542">
        <f t="shared" si="78"/>
        <v>1.7490130923042999</v>
      </c>
      <c r="AE542">
        <f t="shared" si="79"/>
        <v>1.2609341877634561</v>
      </c>
    </row>
    <row r="543" spans="1:31" x14ac:dyDescent="0.25">
      <c r="A543">
        <v>562.84199999999998</v>
      </c>
      <c r="B543">
        <v>8.1690000000000005</v>
      </c>
      <c r="C543">
        <v>77.462999999999994</v>
      </c>
      <c r="D543">
        <v>507.00700000000001</v>
      </c>
      <c r="E543">
        <v>345.53699999999998</v>
      </c>
      <c r="F543">
        <v>2.448</v>
      </c>
      <c r="G543">
        <v>78.147999999999996</v>
      </c>
      <c r="H543">
        <v>76.655000000000001</v>
      </c>
      <c r="I543">
        <v>5.1429999999999998</v>
      </c>
      <c r="J543">
        <v>7.4960000000000004</v>
      </c>
      <c r="K543">
        <v>53379.966</v>
      </c>
      <c r="L543">
        <v>21.443999999999999</v>
      </c>
      <c r="N543">
        <v>282.72559499999994</v>
      </c>
      <c r="O543">
        <v>352.36606499999988</v>
      </c>
      <c r="P543">
        <v>895.62023599999986</v>
      </c>
      <c r="Q543">
        <v>710.25267599999984</v>
      </c>
      <c r="R543">
        <f t="shared" si="77"/>
        <v>1.7145014535432477</v>
      </c>
      <c r="S543">
        <v>1.6582292462468819</v>
      </c>
      <c r="T543">
        <v>69.640469999999937</v>
      </c>
      <c r="U543">
        <v>185.36756000000003</v>
      </c>
      <c r="V543">
        <v>543.25417100000004</v>
      </c>
      <c r="W543">
        <v>0.21302568149081008</v>
      </c>
      <c r="Y543">
        <f t="shared" si="78"/>
        <v>1.7438364564484234</v>
      </c>
      <c r="AE543">
        <f t="shared" si="79"/>
        <v>1.2609341877634561</v>
      </c>
    </row>
    <row r="544" spans="1:31" x14ac:dyDescent="0.25">
      <c r="A544">
        <v>563.84199999999998</v>
      </c>
      <c r="B544">
        <v>8.18</v>
      </c>
      <c r="C544">
        <v>77.584999999999994</v>
      </c>
      <c r="D544">
        <v>509.01900000000001</v>
      </c>
      <c r="E544">
        <v>345.71199999999999</v>
      </c>
      <c r="F544">
        <v>2.4580000000000002</v>
      </c>
      <c r="G544">
        <v>78.173000000000002</v>
      </c>
      <c r="H544">
        <v>76.617999999999995</v>
      </c>
      <c r="I544">
        <v>5.1749999999999998</v>
      </c>
      <c r="J544">
        <v>6.8520000000000003</v>
      </c>
      <c r="K544">
        <v>53404.803</v>
      </c>
      <c r="L544">
        <v>21.236000000000001</v>
      </c>
      <c r="N544">
        <v>282.73664999999994</v>
      </c>
      <c r="O544">
        <v>352.48867499999994</v>
      </c>
      <c r="P544">
        <v>897.93001199999992</v>
      </c>
      <c r="Q544">
        <v>710.45357599999988</v>
      </c>
      <c r="R544">
        <f t="shared" si="77"/>
        <v>1.7145755865531627</v>
      </c>
      <c r="S544">
        <v>1.6574005060961583</v>
      </c>
      <c r="T544">
        <v>69.752025000000003</v>
      </c>
      <c r="U544">
        <v>187.47643600000004</v>
      </c>
      <c r="V544">
        <v>545.44133699999998</v>
      </c>
      <c r="W544">
        <v>0.21583331334493269</v>
      </c>
      <c r="Y544">
        <f t="shared" si="78"/>
        <v>1.7607717172953032</v>
      </c>
      <c r="AE544">
        <f t="shared" si="79"/>
        <v>1.2609341877634561</v>
      </c>
    </row>
    <row r="545" spans="1:31" x14ac:dyDescent="0.25">
      <c r="A545">
        <v>564.84199999999998</v>
      </c>
      <c r="B545">
        <v>8.157</v>
      </c>
      <c r="C545">
        <v>77.673000000000002</v>
      </c>
      <c r="D545">
        <v>509.613</v>
      </c>
      <c r="E545">
        <v>345.81400000000002</v>
      </c>
      <c r="F545">
        <v>2.4569999999999999</v>
      </c>
      <c r="G545">
        <v>78.016999999999996</v>
      </c>
      <c r="H545">
        <v>76.506</v>
      </c>
      <c r="I545">
        <v>5.1529999999999996</v>
      </c>
      <c r="J545">
        <v>7.95</v>
      </c>
      <c r="K545">
        <v>53414.678</v>
      </c>
      <c r="L545">
        <v>20.917000000000002</v>
      </c>
      <c r="N545">
        <v>282.71353499999992</v>
      </c>
      <c r="O545">
        <v>352.57711499999994</v>
      </c>
      <c r="P545">
        <v>898.61192399999982</v>
      </c>
      <c r="Q545">
        <v>710.57067199999983</v>
      </c>
      <c r="R545">
        <f t="shared" si="77"/>
        <v>1.7131194729937618</v>
      </c>
      <c r="S545">
        <v>1.6567052911562496</v>
      </c>
      <c r="T545">
        <v>69.863580000000013</v>
      </c>
      <c r="U545">
        <v>188.04125199999999</v>
      </c>
      <c r="V545">
        <v>546.03480899999988</v>
      </c>
      <c r="W545">
        <v>0.2164288247784584</v>
      </c>
      <c r="Y545">
        <f t="shared" si="78"/>
        <v>1.766112268576681</v>
      </c>
      <c r="AE545">
        <f t="shared" si="79"/>
        <v>1.2609341877634561</v>
      </c>
    </row>
    <row r="546" spans="1:31" x14ac:dyDescent="0.25">
      <c r="A546">
        <v>565.84199999999998</v>
      </c>
      <c r="B546">
        <v>8.3650000000000002</v>
      </c>
      <c r="C546">
        <v>77.828999999999994</v>
      </c>
      <c r="D546">
        <v>510.19200000000001</v>
      </c>
      <c r="E546">
        <v>345.94</v>
      </c>
      <c r="F546">
        <v>2.4470000000000001</v>
      </c>
      <c r="G546">
        <v>78.138999999999996</v>
      </c>
      <c r="H546">
        <v>76.584000000000003</v>
      </c>
      <c r="I546">
        <v>5.2060000000000004</v>
      </c>
      <c r="J546">
        <v>7.4960000000000004</v>
      </c>
      <c r="K546">
        <v>53429.574999999997</v>
      </c>
      <c r="L546">
        <v>21.718</v>
      </c>
      <c r="N546">
        <v>282.92257499999994</v>
      </c>
      <c r="O546">
        <v>352.73389499999996</v>
      </c>
      <c r="P546">
        <v>899.27661599999988</v>
      </c>
      <c r="Q546">
        <v>710.71531999999991</v>
      </c>
      <c r="R546">
        <f t="shared" si="77"/>
        <v>1.7144326880421343</v>
      </c>
      <c r="S546">
        <v>1.6566150902434089</v>
      </c>
      <c r="T546">
        <v>69.811320000000023</v>
      </c>
      <c r="U546">
        <v>188.56129599999997</v>
      </c>
      <c r="V546">
        <v>546.54272099999991</v>
      </c>
      <c r="W546">
        <v>0.21727482854903846</v>
      </c>
      <c r="Y546">
        <f t="shared" si="78"/>
        <v>1.7698666885303267</v>
      </c>
      <c r="AE546">
        <f t="shared" si="79"/>
        <v>1.2609341877634561</v>
      </c>
    </row>
    <row r="547" spans="1:31" x14ac:dyDescent="0.25">
      <c r="A547">
        <v>566.84199999999998</v>
      </c>
      <c r="B547">
        <v>8.4619999999999997</v>
      </c>
      <c r="C547">
        <v>77.897000000000006</v>
      </c>
      <c r="D547">
        <v>508.267</v>
      </c>
      <c r="E547">
        <v>346.27600000000001</v>
      </c>
      <c r="F547">
        <v>2.4620000000000002</v>
      </c>
      <c r="G547">
        <v>77.510999999999996</v>
      </c>
      <c r="H547">
        <v>76.021000000000001</v>
      </c>
      <c r="I547">
        <v>5.1849999999999996</v>
      </c>
      <c r="J547">
        <v>7.8719999999999999</v>
      </c>
      <c r="K547">
        <v>53417.985000000001</v>
      </c>
      <c r="L547">
        <v>21.526</v>
      </c>
      <c r="N547">
        <v>283.02005999999994</v>
      </c>
      <c r="O547">
        <v>352.80223499999994</v>
      </c>
      <c r="P547">
        <v>897.06671599999981</v>
      </c>
      <c r="Q547">
        <v>711.10104799999988</v>
      </c>
      <c r="R547">
        <f t="shared" si="77"/>
        <v>1.7082633396878124</v>
      </c>
      <c r="S547">
        <v>1.6517550719970557</v>
      </c>
      <c r="T547">
        <v>69.782174999999995</v>
      </c>
      <c r="U547">
        <v>185.96566799999994</v>
      </c>
      <c r="V547">
        <v>544.26448099999993</v>
      </c>
      <c r="W547">
        <v>0.21346881351972691</v>
      </c>
      <c r="Y547">
        <f t="shared" si="78"/>
        <v>1.759415692475661</v>
      </c>
      <c r="AE547">
        <f t="shared" si="79"/>
        <v>1.2609341877634561</v>
      </c>
    </row>
    <row r="548" spans="1:31" x14ac:dyDescent="0.25">
      <c r="A548">
        <v>567.84199999999998</v>
      </c>
      <c r="B548">
        <v>8.4809999999999999</v>
      </c>
      <c r="C548">
        <v>77.831999999999994</v>
      </c>
      <c r="D548">
        <v>504.947</v>
      </c>
      <c r="E548">
        <v>346.161</v>
      </c>
      <c r="F548">
        <v>2.4529999999999998</v>
      </c>
      <c r="G548">
        <v>77.195999999999998</v>
      </c>
      <c r="H548">
        <v>75.787000000000006</v>
      </c>
      <c r="I548">
        <v>5.1680000000000001</v>
      </c>
      <c r="J548">
        <v>7.7119999999999997</v>
      </c>
      <c r="K548">
        <v>53386.97</v>
      </c>
      <c r="L548">
        <v>20.797000000000001</v>
      </c>
      <c r="N548">
        <v>283.03915499999994</v>
      </c>
      <c r="O548">
        <v>352.73690999999991</v>
      </c>
      <c r="P548">
        <v>893.25535599999989</v>
      </c>
      <c r="Q548">
        <v>710.96902799999987</v>
      </c>
      <c r="R548">
        <f t="shared" si="77"/>
        <v>1.7054354289165949</v>
      </c>
      <c r="S548">
        <v>1.6498601244156512</v>
      </c>
      <c r="T548">
        <v>69.697754999999972</v>
      </c>
      <c r="U548">
        <v>182.28632800000003</v>
      </c>
      <c r="V548">
        <v>540.51844600000004</v>
      </c>
      <c r="W548">
        <v>0.20829737418434013</v>
      </c>
      <c r="Y548">
        <f t="shared" si="78"/>
        <v>1.7356911910670438</v>
      </c>
      <c r="AE548">
        <f t="shared" si="79"/>
        <v>1.2609341877634561</v>
      </c>
    </row>
    <row r="549" spans="1:31" x14ac:dyDescent="0.25">
      <c r="A549">
        <v>568.84199999999998</v>
      </c>
      <c r="B549">
        <v>8.42</v>
      </c>
      <c r="C549">
        <v>77.873999999999995</v>
      </c>
      <c r="D549">
        <v>503.28500000000003</v>
      </c>
      <c r="E549">
        <v>346.423</v>
      </c>
      <c r="F549">
        <v>2.4329999999999998</v>
      </c>
      <c r="G549">
        <v>76.84</v>
      </c>
      <c r="H549">
        <v>75.400000000000006</v>
      </c>
      <c r="I549">
        <v>5.1100000000000003</v>
      </c>
      <c r="J549">
        <v>8.0250000000000004</v>
      </c>
      <c r="K549">
        <v>53346.201000000001</v>
      </c>
      <c r="L549">
        <v>22.036000000000001</v>
      </c>
      <c r="N549">
        <v>282.97784999999999</v>
      </c>
      <c r="O549">
        <v>352.77911999999998</v>
      </c>
      <c r="P549">
        <v>891.34737999999982</v>
      </c>
      <c r="Q549">
        <v>711.26980399999991</v>
      </c>
      <c r="R549">
        <f t="shared" si="77"/>
        <v>1.7023967979760795</v>
      </c>
      <c r="S549">
        <v>1.6471779762452814</v>
      </c>
      <c r="T549">
        <v>69.801269999999988</v>
      </c>
      <c r="U549">
        <v>180.07757599999991</v>
      </c>
      <c r="V549">
        <v>538.56825999999978</v>
      </c>
      <c r="W549">
        <v>0.20475827149561313</v>
      </c>
      <c r="Y549">
        <f t="shared" si="78"/>
        <v>1.7235891869260405</v>
      </c>
      <c r="AE549">
        <f t="shared" si="79"/>
        <v>1.2609341877634561</v>
      </c>
    </row>
    <row r="550" spans="1:31" x14ac:dyDescent="0.25">
      <c r="A550">
        <v>569.84400000000005</v>
      </c>
      <c r="B550">
        <v>8.5860000000000003</v>
      </c>
      <c r="C550">
        <v>77.727999999999994</v>
      </c>
      <c r="D550">
        <v>502.87</v>
      </c>
      <c r="E550">
        <v>346.39499999999998</v>
      </c>
      <c r="F550">
        <v>2.3860000000000001</v>
      </c>
      <c r="G550">
        <v>76.962999999999994</v>
      </c>
      <c r="H550">
        <v>75.369</v>
      </c>
      <c r="I550">
        <v>5.069</v>
      </c>
      <c r="J550">
        <v>6.9649999999999999</v>
      </c>
      <c r="K550">
        <v>53284.858</v>
      </c>
      <c r="L550">
        <v>20.582999999999998</v>
      </c>
      <c r="N550">
        <v>283.14467999999994</v>
      </c>
      <c r="O550">
        <v>352.63238999999993</v>
      </c>
      <c r="P550">
        <v>890.87095999999985</v>
      </c>
      <c r="Q550">
        <v>711.23765999999989</v>
      </c>
      <c r="R550">
        <f t="shared" si="77"/>
        <v>1.7043140736263529</v>
      </c>
      <c r="S550">
        <v>1.6475144838766129</v>
      </c>
      <c r="T550">
        <v>69.487709999999993</v>
      </c>
      <c r="U550">
        <v>179.63329999999996</v>
      </c>
      <c r="V550">
        <v>538.23856999999998</v>
      </c>
      <c r="W550">
        <v>0.2046408342679715</v>
      </c>
      <c r="Y550">
        <f t="shared" si="78"/>
        <v>1.7195954538933216</v>
      </c>
      <c r="AE550">
        <f t="shared" si="79"/>
        <v>1.2609341877634561</v>
      </c>
    </row>
    <row r="551" spans="1:31" x14ac:dyDescent="0.25">
      <c r="A551">
        <v>570.84400000000005</v>
      </c>
      <c r="B551">
        <v>8.6929999999999996</v>
      </c>
      <c r="C551">
        <v>77.801000000000002</v>
      </c>
      <c r="D551">
        <v>506.20800000000003</v>
      </c>
      <c r="E551">
        <v>346.31</v>
      </c>
      <c r="F551">
        <v>2.4129999999999998</v>
      </c>
      <c r="G551">
        <v>76.691000000000003</v>
      </c>
      <c r="H551">
        <v>75.147000000000006</v>
      </c>
      <c r="I551">
        <v>5.2210000000000001</v>
      </c>
      <c r="J551">
        <v>7.1909999999999998</v>
      </c>
      <c r="K551">
        <v>53244.607000000004</v>
      </c>
      <c r="L551">
        <v>21.85</v>
      </c>
      <c r="N551">
        <v>283.25221499999992</v>
      </c>
      <c r="O551">
        <v>352.70575499999995</v>
      </c>
      <c r="P551">
        <v>894.7029839999999</v>
      </c>
      <c r="Q551">
        <v>711.14008000000001</v>
      </c>
      <c r="R551">
        <f t="shared" si="77"/>
        <v>1.7013114537403342</v>
      </c>
      <c r="S551">
        <v>1.6431692129395423</v>
      </c>
      <c r="T551">
        <v>69.453540000000032</v>
      </c>
      <c r="U551">
        <v>183.56290399999989</v>
      </c>
      <c r="V551">
        <v>541.99722899999995</v>
      </c>
      <c r="W551">
        <v>0.21053495828850421</v>
      </c>
      <c r="Y551">
        <f t="shared" si="78"/>
        <v>1.7584229769721289</v>
      </c>
      <c r="AE551">
        <f t="shared" si="79"/>
        <v>1.2609341877634561</v>
      </c>
    </row>
    <row r="552" spans="1:31" x14ac:dyDescent="0.25">
      <c r="A552">
        <v>571.84500000000003</v>
      </c>
      <c r="B552">
        <v>8.6929999999999996</v>
      </c>
      <c r="C552">
        <v>77.781999999999996</v>
      </c>
      <c r="D552">
        <v>506.46899999999999</v>
      </c>
      <c r="E552">
        <v>346.00599999999997</v>
      </c>
      <c r="F552">
        <v>2.3959999999999999</v>
      </c>
      <c r="G552">
        <v>77.088999999999999</v>
      </c>
      <c r="H552">
        <v>75.667000000000002</v>
      </c>
      <c r="I552">
        <v>5.056</v>
      </c>
      <c r="J552">
        <v>7.4580000000000002</v>
      </c>
      <c r="K552">
        <v>53224.453000000001</v>
      </c>
      <c r="L552">
        <v>21.148</v>
      </c>
      <c r="N552">
        <v>283.25221499999992</v>
      </c>
      <c r="O552">
        <v>352.6866599999999</v>
      </c>
      <c r="P552">
        <v>895.00261199999989</v>
      </c>
      <c r="Q552">
        <v>710.79108799999983</v>
      </c>
      <c r="R552">
        <f t="shared" si="77"/>
        <v>1.7053429780161669</v>
      </c>
      <c r="S552">
        <v>1.6504569070341575</v>
      </c>
      <c r="T552">
        <v>69.434444999999982</v>
      </c>
      <c r="U552">
        <v>184.21152400000005</v>
      </c>
      <c r="V552">
        <v>542.31595199999992</v>
      </c>
      <c r="W552">
        <v>0.21164245413898519</v>
      </c>
      <c r="Y552">
        <f t="shared" si="78"/>
        <v>1.7494120493090461</v>
      </c>
      <c r="AE552">
        <f t="shared" si="79"/>
        <v>1.2609341877634561</v>
      </c>
    </row>
    <row r="553" spans="1:31" x14ac:dyDescent="0.25">
      <c r="A553">
        <v>572.846</v>
      </c>
      <c r="B553">
        <v>8.7829999999999995</v>
      </c>
      <c r="C553">
        <v>77.736999999999995</v>
      </c>
      <c r="D553">
        <v>506.88</v>
      </c>
      <c r="E553">
        <v>346.19099999999997</v>
      </c>
      <c r="F553">
        <v>2.4009999999999998</v>
      </c>
      <c r="G553">
        <v>76.831000000000003</v>
      </c>
      <c r="H553">
        <v>75.334999999999994</v>
      </c>
      <c r="I553">
        <v>5.0839999999999996</v>
      </c>
      <c r="J553">
        <v>8.2899999999999991</v>
      </c>
      <c r="K553">
        <v>53218.565000000002</v>
      </c>
      <c r="L553">
        <v>21.74</v>
      </c>
      <c r="N553">
        <v>283.34266499999995</v>
      </c>
      <c r="O553">
        <v>352.64143499999989</v>
      </c>
      <c r="P553">
        <v>895.47443999999984</v>
      </c>
      <c r="Q553">
        <v>711.00346799999977</v>
      </c>
      <c r="R553">
        <f t="shared" si="77"/>
        <v>1.7028262244926868</v>
      </c>
      <c r="S553">
        <v>1.6469737714580415</v>
      </c>
      <c r="T553">
        <v>69.298769999999934</v>
      </c>
      <c r="U553">
        <v>184.47097200000007</v>
      </c>
      <c r="V553">
        <v>542.83300499999996</v>
      </c>
      <c r="W553">
        <v>0.21216875344563868</v>
      </c>
      <c r="Y553">
        <f t="shared" si="78"/>
        <v>1.7579125906156077</v>
      </c>
      <c r="AE553">
        <f t="shared" si="79"/>
        <v>1.2609341877634561</v>
      </c>
    </row>
    <row r="554" spans="1:31" x14ac:dyDescent="0.25">
      <c r="A554">
        <v>573.846</v>
      </c>
      <c r="B554">
        <v>8.766</v>
      </c>
      <c r="C554">
        <v>77.745999999999995</v>
      </c>
      <c r="D554">
        <v>506.94200000000001</v>
      </c>
      <c r="E554">
        <v>345.75400000000002</v>
      </c>
      <c r="F554">
        <v>2.39</v>
      </c>
      <c r="G554">
        <v>76.677999999999997</v>
      </c>
      <c r="H554">
        <v>75.278999999999996</v>
      </c>
      <c r="I554">
        <v>5.0449999999999999</v>
      </c>
      <c r="J554">
        <v>7.6550000000000002</v>
      </c>
      <c r="K554">
        <v>53217.4</v>
      </c>
      <c r="L554">
        <v>21.51</v>
      </c>
      <c r="N554">
        <v>283.32557999999995</v>
      </c>
      <c r="O554">
        <v>352.6504799999999</v>
      </c>
      <c r="P554">
        <v>895.54561599999988</v>
      </c>
      <c r="Q554">
        <v>710.50179199999991</v>
      </c>
      <c r="R554">
        <f t="shared" si="77"/>
        <v>1.7015582207951647</v>
      </c>
      <c r="S554">
        <v>1.6470496107605139</v>
      </c>
      <c r="T554">
        <v>69.324899999999957</v>
      </c>
      <c r="U554">
        <v>185.04382399999997</v>
      </c>
      <c r="V554">
        <v>542.89513599999998</v>
      </c>
      <c r="W554">
        <v>0.2131515210333364</v>
      </c>
      <c r="Y554">
        <f t="shared" si="78"/>
        <v>1.7630786418174442</v>
      </c>
      <c r="AE554">
        <f t="shared" si="79"/>
        <v>1.2609341877634561</v>
      </c>
    </row>
    <row r="555" spans="1:31" x14ac:dyDescent="0.25">
      <c r="A555">
        <v>574.846</v>
      </c>
      <c r="B555">
        <v>8.6790000000000003</v>
      </c>
      <c r="C555">
        <v>77.674000000000007</v>
      </c>
      <c r="D555">
        <v>509.34500000000003</v>
      </c>
      <c r="E555">
        <v>345.255</v>
      </c>
      <c r="F555">
        <v>2.4260000000000002</v>
      </c>
      <c r="G555">
        <v>76.480999999999995</v>
      </c>
      <c r="H555">
        <v>75.141999999999996</v>
      </c>
      <c r="I555">
        <v>5.1529999999999996</v>
      </c>
      <c r="J555">
        <v>7.6660000000000004</v>
      </c>
      <c r="K555">
        <v>53186.942999999999</v>
      </c>
      <c r="L555">
        <v>20.956</v>
      </c>
      <c r="N555">
        <v>283.23814499999992</v>
      </c>
      <c r="O555">
        <v>352.5781199999999</v>
      </c>
      <c r="P555">
        <v>898.30425999999989</v>
      </c>
      <c r="Q555">
        <v>709.9289399999999</v>
      </c>
      <c r="R555">
        <f t="shared" si="77"/>
        <v>1.6991201404754261</v>
      </c>
      <c r="S555">
        <v>1.644151565074135</v>
      </c>
      <c r="T555">
        <v>69.339974999999981</v>
      </c>
      <c r="U555">
        <v>188.37531999999999</v>
      </c>
      <c r="V555">
        <v>545.72613999999999</v>
      </c>
      <c r="W555">
        <v>0.21812285737311393</v>
      </c>
      <c r="AE555">
        <f t="shared" si="79"/>
        <v>1.2609341877634561</v>
      </c>
    </row>
    <row r="556" spans="1:31" x14ac:dyDescent="0.25">
      <c r="A556">
        <v>575.846</v>
      </c>
      <c r="B556">
        <v>8.8089999999999993</v>
      </c>
      <c r="C556">
        <v>77.587000000000003</v>
      </c>
      <c r="D556">
        <v>510.435</v>
      </c>
      <c r="E556">
        <v>345.49299999999999</v>
      </c>
      <c r="F556">
        <v>2.4</v>
      </c>
      <c r="G556">
        <v>76.664000000000001</v>
      </c>
      <c r="H556">
        <v>75.207999999999998</v>
      </c>
      <c r="I556">
        <v>5.1319999999999997</v>
      </c>
      <c r="J556">
        <v>6.4729999999999999</v>
      </c>
      <c r="K556">
        <v>53170.476999999999</v>
      </c>
      <c r="L556">
        <v>21.504000000000001</v>
      </c>
      <c r="N556">
        <v>283.36879499999998</v>
      </c>
      <c r="O556">
        <v>352.49068499999993</v>
      </c>
      <c r="P556">
        <v>899.55557999999996</v>
      </c>
      <c r="Q556">
        <v>710.20216399999993</v>
      </c>
      <c r="R556">
        <f t="shared" si="77"/>
        <v>1.7012653446647779</v>
      </c>
      <c r="S556">
        <v>1.6450769570660577</v>
      </c>
      <c r="T556">
        <v>69.121889999999951</v>
      </c>
      <c r="U556">
        <v>189.35341600000004</v>
      </c>
      <c r="V556">
        <v>547.06489499999998</v>
      </c>
      <c r="W556">
        <v>0.21977561912467458</v>
      </c>
      <c r="AE556">
        <f t="shared" si="79"/>
        <v>1.2609341877634561</v>
      </c>
    </row>
    <row r="557" spans="1:31" x14ac:dyDescent="0.25">
      <c r="A557">
        <v>576.84699999999998</v>
      </c>
      <c r="B557">
        <v>8.8650000000000002</v>
      </c>
      <c r="C557">
        <v>77.498999999999995</v>
      </c>
      <c r="D557">
        <v>510.31200000000001</v>
      </c>
      <c r="E557">
        <v>345.05099999999999</v>
      </c>
      <c r="F557">
        <v>2.3610000000000002</v>
      </c>
      <c r="G557">
        <v>76.069999999999993</v>
      </c>
      <c r="H557">
        <v>74.721000000000004</v>
      </c>
      <c r="I557">
        <v>4.9690000000000003</v>
      </c>
      <c r="J557">
        <v>7.5709999999999997</v>
      </c>
      <c r="K557">
        <v>53146.182000000001</v>
      </c>
      <c r="L557">
        <v>21.454999999999998</v>
      </c>
      <c r="N557">
        <v>283.42507499999994</v>
      </c>
      <c r="O557">
        <v>352.40224499999994</v>
      </c>
      <c r="P557">
        <v>899.41437599999995</v>
      </c>
      <c r="Q557">
        <v>709.694748</v>
      </c>
      <c r="R557">
        <f t="shared" si="77"/>
        <v>1.6962809722182861</v>
      </c>
      <c r="S557">
        <v>1.6430593072675144</v>
      </c>
      <c r="T557">
        <v>68.977170000000001</v>
      </c>
      <c r="U557">
        <v>189.71962799999994</v>
      </c>
      <c r="V557">
        <v>547.01213099999995</v>
      </c>
      <c r="W557">
        <v>0.22073085980610538</v>
      </c>
      <c r="AE557">
        <f t="shared" si="79"/>
        <v>1.2609341877634561</v>
      </c>
    </row>
    <row r="558" spans="1:31" x14ac:dyDescent="0.25">
      <c r="A558">
        <v>577.84699999999998</v>
      </c>
      <c r="B558">
        <v>9.0640000000000001</v>
      </c>
      <c r="C558">
        <v>77.468999999999994</v>
      </c>
      <c r="D558">
        <v>510.98899999999998</v>
      </c>
      <c r="E558">
        <v>344.98200000000003</v>
      </c>
      <c r="F558">
        <v>2.4079999999999999</v>
      </c>
      <c r="G558">
        <v>77.09</v>
      </c>
      <c r="H558">
        <v>75.510000000000005</v>
      </c>
      <c r="I558">
        <v>5.1289999999999996</v>
      </c>
      <c r="J558">
        <v>8.4410000000000007</v>
      </c>
      <c r="K558">
        <v>53143.618999999999</v>
      </c>
      <c r="L558">
        <v>21.866</v>
      </c>
      <c r="N558">
        <v>283.62506999999999</v>
      </c>
      <c r="O558">
        <v>352.37209499999994</v>
      </c>
      <c r="P558">
        <v>900.19157199999984</v>
      </c>
      <c r="Q558">
        <v>709.61553600000002</v>
      </c>
      <c r="R558">
        <f t="shared" si="77"/>
        <v>1.7051591947728217</v>
      </c>
      <c r="S558">
        <v>1.6479024938092037</v>
      </c>
      <c r="T558">
        <v>68.747024999999951</v>
      </c>
      <c r="U558">
        <v>190.57603599999982</v>
      </c>
      <c r="V558">
        <v>547.81947699999989</v>
      </c>
      <c r="W558">
        <v>0.22238897322009579</v>
      </c>
      <c r="AE558">
        <f t="shared" si="79"/>
        <v>1.2609341877634561</v>
      </c>
    </row>
    <row r="559" spans="1:31" x14ac:dyDescent="0.25">
      <c r="A559">
        <v>578.84699999999998</v>
      </c>
      <c r="B559">
        <v>9.1660000000000004</v>
      </c>
      <c r="C559">
        <v>77.257000000000005</v>
      </c>
      <c r="D559">
        <v>513.42899999999997</v>
      </c>
      <c r="E559">
        <v>345.02499999999998</v>
      </c>
      <c r="F559">
        <v>2.4340000000000002</v>
      </c>
      <c r="G559">
        <v>77.396000000000001</v>
      </c>
      <c r="H559">
        <v>75.899000000000001</v>
      </c>
      <c r="I559">
        <v>4.9589999999999996</v>
      </c>
      <c r="J559">
        <v>7.117</v>
      </c>
      <c r="K559">
        <v>53165.366000000002</v>
      </c>
      <c r="L559">
        <v>21.388999999999999</v>
      </c>
      <c r="N559">
        <v>283.72757999999993</v>
      </c>
      <c r="O559">
        <v>352.15903499999996</v>
      </c>
      <c r="P559">
        <v>902.99269199999992</v>
      </c>
      <c r="Q559">
        <v>709.66489999999988</v>
      </c>
      <c r="R559">
        <f t="shared" si="77"/>
        <v>1.707629278607435</v>
      </c>
      <c r="S559">
        <v>1.6540720456578062</v>
      </c>
      <c r="T559">
        <v>68.431455000000028</v>
      </c>
      <c r="U559">
        <v>193.32779200000004</v>
      </c>
      <c r="V559">
        <v>550.8336569999999</v>
      </c>
      <c r="W559">
        <v>0.22674056934033723</v>
      </c>
      <c r="AE559">
        <f t="shared" si="79"/>
        <v>1.2609341877634561</v>
      </c>
    </row>
    <row r="560" spans="1:31" x14ac:dyDescent="0.25">
      <c r="A560">
        <v>579.84699999999998</v>
      </c>
      <c r="B560">
        <v>9.4719999999999995</v>
      </c>
      <c r="C560">
        <v>77.277000000000001</v>
      </c>
      <c r="D560">
        <v>517.42499999999995</v>
      </c>
      <c r="E560">
        <v>345.11099999999999</v>
      </c>
      <c r="F560">
        <v>2.4300000000000002</v>
      </c>
      <c r="G560">
        <v>76.823999999999998</v>
      </c>
      <c r="H560">
        <v>75.552999999999997</v>
      </c>
      <c r="I560">
        <v>4.9160000000000004</v>
      </c>
      <c r="J560">
        <v>8.1389999999999993</v>
      </c>
      <c r="K560">
        <v>53218.798999999999</v>
      </c>
      <c r="L560">
        <v>21.34</v>
      </c>
      <c r="N560">
        <v>284.03510999999992</v>
      </c>
      <c r="O560">
        <v>352.17913499999992</v>
      </c>
      <c r="P560">
        <v>907.5800999999999</v>
      </c>
      <c r="Q560">
        <v>709.76362799999993</v>
      </c>
      <c r="R560">
        <f t="shared" si="77"/>
        <v>1.7022939677145286</v>
      </c>
      <c r="S560">
        <v>1.6515366735537191</v>
      </c>
      <c r="T560">
        <v>68.144024999999999</v>
      </c>
      <c r="U560">
        <v>197.81647199999998</v>
      </c>
      <c r="V560">
        <v>555.40096500000004</v>
      </c>
      <c r="W560">
        <v>0.2334753721574826</v>
      </c>
      <c r="AE560">
        <f t="shared" si="79"/>
        <v>1.2609341877634561</v>
      </c>
    </row>
    <row r="561" spans="1:31" x14ac:dyDescent="0.25">
      <c r="A561">
        <v>580.84699999999998</v>
      </c>
      <c r="B561">
        <v>9.4510000000000005</v>
      </c>
      <c r="C561">
        <v>77.338999999999999</v>
      </c>
      <c r="D561">
        <v>519.93399999999997</v>
      </c>
      <c r="E561">
        <v>345.44099999999997</v>
      </c>
      <c r="F561">
        <v>2.4140000000000001</v>
      </c>
      <c r="G561">
        <v>77.445999999999998</v>
      </c>
      <c r="H561">
        <v>76.043000000000006</v>
      </c>
      <c r="I561">
        <v>5.1189999999999998</v>
      </c>
      <c r="J561">
        <v>7.2080000000000002</v>
      </c>
      <c r="K561">
        <v>53270.218999999997</v>
      </c>
      <c r="L561">
        <v>21.048999999999999</v>
      </c>
      <c r="N561">
        <v>284.014005</v>
      </c>
      <c r="O561">
        <v>352.24144499999994</v>
      </c>
      <c r="P561">
        <v>910.46043199999986</v>
      </c>
      <c r="Q561">
        <v>710.14246799999978</v>
      </c>
      <c r="R561">
        <f t="shared" si="77"/>
        <v>1.7084238155484639</v>
      </c>
      <c r="S561">
        <v>1.6529612682863957</v>
      </c>
      <c r="T561">
        <v>68.227439999999945</v>
      </c>
      <c r="U561">
        <v>200.31796400000007</v>
      </c>
      <c r="V561">
        <v>558.21898699999997</v>
      </c>
      <c r="W561">
        <v>0.23662850436149735</v>
      </c>
      <c r="AE561">
        <f t="shared" si="79"/>
        <v>1.2609341877634561</v>
      </c>
    </row>
    <row r="562" spans="1:31" x14ac:dyDescent="0.25">
      <c r="A562">
        <v>581.84699999999998</v>
      </c>
      <c r="B562">
        <v>9.5190000000000001</v>
      </c>
      <c r="C562">
        <v>77.531000000000006</v>
      </c>
      <c r="D562">
        <v>520.94500000000005</v>
      </c>
      <c r="E562">
        <v>345.334</v>
      </c>
      <c r="F562">
        <v>2.4089999999999998</v>
      </c>
      <c r="G562">
        <v>77.186999999999998</v>
      </c>
      <c r="H562">
        <v>75.655000000000001</v>
      </c>
      <c r="I562">
        <v>5.0869999999999997</v>
      </c>
      <c r="J562">
        <v>7.1150000000000002</v>
      </c>
      <c r="K562">
        <v>53300.855000000003</v>
      </c>
      <c r="L562">
        <v>21.669</v>
      </c>
      <c r="N562">
        <v>284.08234499999998</v>
      </c>
      <c r="O562">
        <v>352.43440499999997</v>
      </c>
      <c r="P562">
        <v>911.62105999999994</v>
      </c>
      <c r="Q562">
        <v>710.01963199999989</v>
      </c>
      <c r="R562">
        <f t="shared" si="77"/>
        <v>1.7060589751579187</v>
      </c>
      <c r="S562">
        <v>1.649875215265179</v>
      </c>
      <c r="T562">
        <v>68.352059999999994</v>
      </c>
      <c r="U562">
        <v>201.60142800000006</v>
      </c>
      <c r="V562">
        <v>559.18665499999997</v>
      </c>
      <c r="W562">
        <v>0.23829139484739684</v>
      </c>
      <c r="AE562">
        <f t="shared" si="79"/>
        <v>1.2609341877634561</v>
      </c>
    </row>
    <row r="563" spans="1:31" x14ac:dyDescent="0.25">
      <c r="A563">
        <v>582.84699999999998</v>
      </c>
      <c r="B563">
        <v>9.327</v>
      </c>
      <c r="C563">
        <v>77.552999999999997</v>
      </c>
      <c r="D563">
        <v>515.23400000000004</v>
      </c>
      <c r="E563">
        <v>345.22800000000001</v>
      </c>
      <c r="F563">
        <v>2.3879999999999999</v>
      </c>
      <c r="G563">
        <v>76.864000000000004</v>
      </c>
      <c r="H563">
        <v>75.486000000000004</v>
      </c>
      <c r="I563">
        <v>5.0620000000000003</v>
      </c>
      <c r="J563">
        <v>6.8520000000000003</v>
      </c>
      <c r="K563">
        <v>53271.368000000002</v>
      </c>
      <c r="L563">
        <v>21.417000000000002</v>
      </c>
      <c r="N563">
        <v>283.88938499999995</v>
      </c>
      <c r="O563">
        <v>352.45651499999991</v>
      </c>
      <c r="P563">
        <v>905.06483199999991</v>
      </c>
      <c r="Q563">
        <v>709.89794399999982</v>
      </c>
      <c r="R563">
        <f t="shared" si="77"/>
        <v>1.7033469326080386</v>
      </c>
      <c r="S563">
        <v>1.6486984396013338</v>
      </c>
      <c r="T563">
        <v>68.567129999999963</v>
      </c>
      <c r="U563">
        <v>195.16688800000009</v>
      </c>
      <c r="V563">
        <v>552.60831699999994</v>
      </c>
      <c r="W563">
        <v>0.22909491968431617</v>
      </c>
      <c r="AE563">
        <f t="shared" si="79"/>
        <v>1.2609341877634561</v>
      </c>
    </row>
    <row r="564" spans="1:31" x14ac:dyDescent="0.25">
      <c r="A564">
        <v>583.84799999999996</v>
      </c>
      <c r="B564">
        <v>9.3309999999999995</v>
      </c>
      <c r="C564">
        <v>77.688999999999993</v>
      </c>
      <c r="D564">
        <v>516.50599999999997</v>
      </c>
      <c r="E564">
        <v>345.86599999999999</v>
      </c>
      <c r="F564">
        <v>2.4239999999999999</v>
      </c>
      <c r="G564">
        <v>76.938999999999993</v>
      </c>
      <c r="H564">
        <v>75.478999999999999</v>
      </c>
      <c r="I564">
        <v>5.0960000000000001</v>
      </c>
      <c r="J564">
        <v>7.23</v>
      </c>
      <c r="K564">
        <v>53243.337</v>
      </c>
      <c r="L564">
        <v>21.361999999999998</v>
      </c>
      <c r="N564">
        <v>283.89340499999997</v>
      </c>
      <c r="O564">
        <v>352.59319499999992</v>
      </c>
      <c r="P564">
        <v>906.52508799999987</v>
      </c>
      <c r="Q564">
        <v>710.63036799999986</v>
      </c>
      <c r="R564">
        <f t="shared" si="77"/>
        <v>1.7034760771874171</v>
      </c>
      <c r="S564">
        <v>1.6481177943939</v>
      </c>
      <c r="T564">
        <v>68.69978999999995</v>
      </c>
      <c r="U564">
        <v>195.89472000000001</v>
      </c>
      <c r="V564">
        <v>553.93189299999995</v>
      </c>
      <c r="W564">
        <v>0.22962196545704233</v>
      </c>
      <c r="AE564">
        <f t="shared" si="79"/>
        <v>1.2609341877634561</v>
      </c>
    </row>
    <row r="565" spans="1:31" x14ac:dyDescent="0.25">
      <c r="A565">
        <v>584.84699999999998</v>
      </c>
      <c r="B565">
        <v>9.3450000000000006</v>
      </c>
      <c r="C565">
        <v>77.742999999999995</v>
      </c>
      <c r="D565">
        <v>517.08500000000004</v>
      </c>
      <c r="E565">
        <v>344.89800000000002</v>
      </c>
      <c r="F565">
        <v>2.4180000000000001</v>
      </c>
      <c r="G565">
        <v>76.784000000000006</v>
      </c>
      <c r="H565">
        <v>75.269000000000005</v>
      </c>
      <c r="I565">
        <v>5.0279999999999996</v>
      </c>
      <c r="J565">
        <v>7.4580000000000002</v>
      </c>
      <c r="K565">
        <v>53216.616000000002</v>
      </c>
      <c r="L565">
        <v>21.202999999999999</v>
      </c>
      <c r="N565">
        <v>283.90747499999998</v>
      </c>
      <c r="O565">
        <v>352.64746499999995</v>
      </c>
      <c r="P565">
        <v>907.18977999999993</v>
      </c>
      <c r="Q565">
        <v>709.51910399999997</v>
      </c>
      <c r="R565">
        <f t="shared" si="77"/>
        <v>1.7021091787986931</v>
      </c>
      <c r="S565">
        <v>1.6472154651334217</v>
      </c>
      <c r="T565">
        <v>68.739989999999977</v>
      </c>
      <c r="U565">
        <v>197.67067599999996</v>
      </c>
      <c r="V565">
        <v>554.54231499999992</v>
      </c>
      <c r="W565">
        <v>0.23249927464958198</v>
      </c>
      <c r="AE565">
        <f t="shared" si="79"/>
        <v>1.2609341877634561</v>
      </c>
    </row>
    <row r="566" spans="1:31" x14ac:dyDescent="0.25">
      <c r="A566">
        <v>585.84799999999996</v>
      </c>
      <c r="B566">
        <v>9.3049999999999997</v>
      </c>
      <c r="C566">
        <v>77.745999999999995</v>
      </c>
      <c r="D566">
        <v>514.09400000000005</v>
      </c>
      <c r="E566">
        <v>345.548</v>
      </c>
      <c r="F566">
        <v>2.41</v>
      </c>
      <c r="G566">
        <v>76.63</v>
      </c>
      <c r="H566">
        <v>75.313999999999993</v>
      </c>
      <c r="I566">
        <v>5.125</v>
      </c>
      <c r="J566">
        <v>6.6630000000000003</v>
      </c>
      <c r="K566">
        <v>53185.423000000003</v>
      </c>
      <c r="L566">
        <v>21.071000000000002</v>
      </c>
      <c r="N566">
        <v>283.86727499999995</v>
      </c>
      <c r="O566">
        <v>352.6504799999999</v>
      </c>
      <c r="P566">
        <v>903.75611199999992</v>
      </c>
      <c r="Q566">
        <v>710.2653039999999</v>
      </c>
      <c r="R566">
        <f t="shared" si="77"/>
        <v>1.7007836842602209</v>
      </c>
      <c r="S566">
        <v>1.6461588032220944</v>
      </c>
      <c r="T566">
        <v>68.783204999999953</v>
      </c>
      <c r="U566">
        <v>193.49080800000002</v>
      </c>
      <c r="V566">
        <v>551.10563200000001</v>
      </c>
      <c r="W566">
        <v>0.2262862067793204</v>
      </c>
      <c r="AE566">
        <f t="shared" si="79"/>
        <v>1.2609341877634561</v>
      </c>
    </row>
    <row r="567" spans="1:31" x14ac:dyDescent="0.25">
      <c r="A567">
        <v>586.84799999999996</v>
      </c>
      <c r="B567">
        <v>9.2119999999999997</v>
      </c>
      <c r="C567">
        <v>77.744</v>
      </c>
      <c r="D567">
        <v>514.02</v>
      </c>
      <c r="E567">
        <v>345.017</v>
      </c>
      <c r="F567">
        <v>2.4039999999999999</v>
      </c>
      <c r="G567">
        <v>76.566000000000003</v>
      </c>
      <c r="H567">
        <v>75.168000000000006</v>
      </c>
      <c r="I567">
        <v>5.5839999999999996</v>
      </c>
      <c r="J567">
        <v>7.3440000000000003</v>
      </c>
      <c r="K567">
        <v>53172.951999999997</v>
      </c>
      <c r="L567">
        <v>20.808</v>
      </c>
      <c r="N567">
        <v>283.77380999999991</v>
      </c>
      <c r="O567">
        <v>352.64846999999997</v>
      </c>
      <c r="P567">
        <v>903.67115999999987</v>
      </c>
      <c r="Q567">
        <v>709.65571599999987</v>
      </c>
      <c r="R567">
        <f t="shared" si="77"/>
        <v>1.7002757214080677</v>
      </c>
      <c r="S567">
        <v>1.6378937332697738</v>
      </c>
      <c r="T567">
        <v>68.874660000000063</v>
      </c>
      <c r="U567">
        <v>194.015444</v>
      </c>
      <c r="V567">
        <v>551.0226899999999</v>
      </c>
      <c r="W567">
        <v>0.22710640826786999</v>
      </c>
      <c r="AE567">
        <f t="shared" si="79"/>
        <v>1.2609341877634561</v>
      </c>
    </row>
    <row r="568" spans="1:31" x14ac:dyDescent="0.25">
      <c r="A568">
        <v>587.84799999999996</v>
      </c>
      <c r="B568">
        <v>9.1820000000000004</v>
      </c>
      <c r="C568">
        <v>77.816000000000003</v>
      </c>
      <c r="D568">
        <v>508.77100000000002</v>
      </c>
      <c r="E568">
        <v>345.572</v>
      </c>
      <c r="F568">
        <v>2.3969999999999998</v>
      </c>
      <c r="G568">
        <v>76.793000000000006</v>
      </c>
      <c r="H568">
        <v>75.369</v>
      </c>
      <c r="I568">
        <v>5.157</v>
      </c>
      <c r="J568">
        <v>7.3940000000000001</v>
      </c>
      <c r="K568">
        <v>53157.731</v>
      </c>
      <c r="L568">
        <v>21.481999999999999</v>
      </c>
      <c r="N568">
        <v>283.74365999999998</v>
      </c>
      <c r="O568">
        <v>352.72082999999998</v>
      </c>
      <c r="P568">
        <v>897.645308</v>
      </c>
      <c r="Q568">
        <v>710.29285599999992</v>
      </c>
      <c r="R568">
        <f t="shared" si="77"/>
        <v>1.7025317053363174</v>
      </c>
      <c r="S568">
        <v>1.6461801816726029</v>
      </c>
      <c r="T568">
        <v>68.977170000000001</v>
      </c>
      <c r="U568">
        <v>187.35245200000008</v>
      </c>
      <c r="V568">
        <v>544.92447800000002</v>
      </c>
      <c r="W568">
        <v>0.21723245473292921</v>
      </c>
      <c r="AE568">
        <f t="shared" si="79"/>
        <v>1.2609341877634561</v>
      </c>
    </row>
    <row r="569" spans="1:31" x14ac:dyDescent="0.25">
      <c r="A569">
        <v>588.84799999999996</v>
      </c>
      <c r="B569">
        <v>9.0549999999999997</v>
      </c>
      <c r="C569">
        <v>77.825999999999993</v>
      </c>
      <c r="D569">
        <v>508.80799999999999</v>
      </c>
      <c r="E569">
        <v>345.93599999999998</v>
      </c>
      <c r="F569">
        <v>2.3820000000000001</v>
      </c>
      <c r="G569">
        <v>76.400999999999996</v>
      </c>
      <c r="H569">
        <v>75.119</v>
      </c>
      <c r="I569">
        <v>4.92</v>
      </c>
      <c r="J569">
        <v>6.9320000000000004</v>
      </c>
      <c r="K569">
        <v>53156.057000000001</v>
      </c>
      <c r="L569">
        <v>21.492999999999999</v>
      </c>
      <c r="N569">
        <v>283.61602499999998</v>
      </c>
      <c r="O569">
        <v>352.73087999999996</v>
      </c>
      <c r="P569">
        <v>897.68778399999985</v>
      </c>
      <c r="Q569">
        <v>710.7107279999999</v>
      </c>
      <c r="R569">
        <f t="shared" si="77"/>
        <v>1.6990706635688786</v>
      </c>
      <c r="S569">
        <v>1.6474727909979707</v>
      </c>
      <c r="T569">
        <v>69.114854999999977</v>
      </c>
      <c r="U569">
        <v>186.97705599999995</v>
      </c>
      <c r="V569">
        <v>544.95690399999989</v>
      </c>
      <c r="W569">
        <v>0.21627802150021022</v>
      </c>
      <c r="AE569">
        <f t="shared" si="79"/>
        <v>1.2609341877634561</v>
      </c>
    </row>
    <row r="570" spans="1:31" x14ac:dyDescent="0.25">
      <c r="A570">
        <v>589.84799999999996</v>
      </c>
      <c r="B570">
        <v>8.9659999999999993</v>
      </c>
      <c r="C570">
        <v>77.694999999999993</v>
      </c>
      <c r="D570">
        <v>510.25099999999998</v>
      </c>
      <c r="E570">
        <v>345.09399999999999</v>
      </c>
      <c r="F570">
        <v>2.391</v>
      </c>
      <c r="G570">
        <v>76.885000000000005</v>
      </c>
      <c r="H570">
        <v>75.376000000000005</v>
      </c>
      <c r="I570">
        <v>5.05</v>
      </c>
      <c r="J570">
        <v>7.9130000000000003</v>
      </c>
      <c r="K570">
        <v>53146.425000000003</v>
      </c>
      <c r="L570">
        <v>21.015999999999998</v>
      </c>
      <c r="N570">
        <v>283.52657999999997</v>
      </c>
      <c r="O570">
        <v>352.59922499999993</v>
      </c>
      <c r="P570">
        <v>899.34434799999985</v>
      </c>
      <c r="Q570">
        <v>709.74411199999986</v>
      </c>
      <c r="R570">
        <f t="shared" si="77"/>
        <v>1.703496992190082</v>
      </c>
      <c r="S570">
        <v>1.6478673422385999</v>
      </c>
      <c r="T570">
        <v>69.072644999999966</v>
      </c>
      <c r="U570">
        <v>189.600236</v>
      </c>
      <c r="V570">
        <v>546.74512299999992</v>
      </c>
      <c r="W570">
        <v>0.22044566275902575</v>
      </c>
      <c r="AE570">
        <f t="shared" si="79"/>
        <v>1.2609341877634561</v>
      </c>
    </row>
    <row r="571" spans="1:31" x14ac:dyDescent="0.25">
      <c r="A571">
        <v>590.84799999999996</v>
      </c>
      <c r="B571">
        <v>8.8829999999999991</v>
      </c>
      <c r="C571">
        <v>77.599000000000004</v>
      </c>
      <c r="D571">
        <v>509.654</v>
      </c>
      <c r="E571">
        <v>345.50400000000002</v>
      </c>
      <c r="F571">
        <v>2.3879999999999999</v>
      </c>
      <c r="G571">
        <v>76.563000000000002</v>
      </c>
      <c r="H571">
        <v>75.099999999999994</v>
      </c>
      <c r="I571">
        <v>5.1349999999999998</v>
      </c>
      <c r="J571">
        <v>7.117</v>
      </c>
      <c r="K571">
        <v>53141.322</v>
      </c>
      <c r="L571">
        <v>20.835000000000001</v>
      </c>
      <c r="N571">
        <v>283.44316499999991</v>
      </c>
      <c r="O571">
        <v>352.50274499999995</v>
      </c>
      <c r="P571">
        <v>898.6589919999999</v>
      </c>
      <c r="Q571">
        <v>710.21479199999999</v>
      </c>
      <c r="R571">
        <f t="shared" si="77"/>
        <v>1.7005043064369898</v>
      </c>
      <c r="S571">
        <v>1.6440373728540525</v>
      </c>
      <c r="T571">
        <v>69.059580000000039</v>
      </c>
      <c r="U571">
        <v>188.44419999999991</v>
      </c>
      <c r="V571">
        <v>546.15624699999989</v>
      </c>
      <c r="W571">
        <v>0.21859059684068741</v>
      </c>
      <c r="AE571">
        <f t="shared" si="79"/>
        <v>1.2609341877634561</v>
      </c>
    </row>
    <row r="572" spans="1:31" x14ac:dyDescent="0.25">
      <c r="A572">
        <v>591.84900000000005</v>
      </c>
      <c r="B572">
        <v>8.8030000000000008</v>
      </c>
      <c r="C572">
        <v>77.683000000000007</v>
      </c>
      <c r="D572">
        <v>512.5</v>
      </c>
      <c r="E572">
        <v>345.40699999999998</v>
      </c>
      <c r="F572">
        <v>2.3959999999999999</v>
      </c>
      <c r="G572">
        <v>76.566000000000003</v>
      </c>
      <c r="H572">
        <v>75.024000000000001</v>
      </c>
      <c r="I572">
        <v>4.9740000000000002</v>
      </c>
      <c r="J572">
        <v>7.7229999999999999</v>
      </c>
      <c r="K572">
        <v>53119.445</v>
      </c>
      <c r="L572">
        <v>21.481999999999999</v>
      </c>
      <c r="N572">
        <v>283.36276499999997</v>
      </c>
      <c r="O572">
        <v>352.58716499999991</v>
      </c>
      <c r="P572">
        <v>901.92619999999988</v>
      </c>
      <c r="Q572">
        <v>710.10343599999999</v>
      </c>
      <c r="R572">
        <f t="shared" si="77"/>
        <v>1.7004041701291834</v>
      </c>
      <c r="S572">
        <v>1.6457768681896121</v>
      </c>
      <c r="T572">
        <v>69.224399999999946</v>
      </c>
      <c r="U572">
        <v>191.82276399999989</v>
      </c>
      <c r="V572">
        <v>549.33903499999997</v>
      </c>
      <c r="W572">
        <v>0.22317431711365632</v>
      </c>
      <c r="AE572">
        <f t="shared" si="79"/>
        <v>1.2609341877634561</v>
      </c>
    </row>
    <row r="573" spans="1:31" x14ac:dyDescent="0.25">
      <c r="A573">
        <v>592.85</v>
      </c>
      <c r="B573">
        <v>8.7569999999999997</v>
      </c>
      <c r="C573">
        <v>77.603999999999999</v>
      </c>
      <c r="D573">
        <v>513.17899999999997</v>
      </c>
      <c r="E573">
        <v>345.33699999999999</v>
      </c>
      <c r="F573">
        <v>2.3879999999999999</v>
      </c>
      <c r="G573">
        <v>76.215999999999994</v>
      </c>
      <c r="H573">
        <v>74.734999999999999</v>
      </c>
      <c r="I573">
        <v>5.08</v>
      </c>
      <c r="J573">
        <v>7.2679999999999998</v>
      </c>
      <c r="K573">
        <v>53100.391000000003</v>
      </c>
      <c r="L573">
        <v>21.795000000000002</v>
      </c>
      <c r="N573">
        <v>283.31653499999993</v>
      </c>
      <c r="O573">
        <v>352.50776999999994</v>
      </c>
      <c r="P573">
        <v>902.70569199999989</v>
      </c>
      <c r="Q573">
        <v>710.02307599999995</v>
      </c>
      <c r="R573">
        <f t="shared" si="77"/>
        <v>1.6972272589906316</v>
      </c>
      <c r="S573">
        <v>1.6415085651132806</v>
      </c>
      <c r="T573">
        <v>69.191235000000006</v>
      </c>
      <c r="U573">
        <v>192.68261599999994</v>
      </c>
      <c r="V573">
        <v>550.19792199999995</v>
      </c>
      <c r="W573">
        <v>0.22444901382233853</v>
      </c>
      <c r="AE573">
        <f t="shared" si="79"/>
        <v>1.2609341877634561</v>
      </c>
    </row>
    <row r="574" spans="1:31" x14ac:dyDescent="0.25">
      <c r="A574">
        <v>593.85</v>
      </c>
      <c r="B574">
        <v>8.6869999999999994</v>
      </c>
      <c r="C574">
        <v>77.582999999999998</v>
      </c>
      <c r="D574">
        <v>512.89400000000001</v>
      </c>
      <c r="E574">
        <v>345.88299999999998</v>
      </c>
      <c r="F574">
        <v>2.3980000000000001</v>
      </c>
      <c r="G574">
        <v>76.644999999999996</v>
      </c>
      <c r="H574">
        <v>75.17</v>
      </c>
      <c r="I574">
        <v>5.1689999999999996</v>
      </c>
      <c r="J574">
        <v>7.0039999999999996</v>
      </c>
      <c r="K574">
        <v>53113.517</v>
      </c>
      <c r="L574">
        <v>21.762</v>
      </c>
      <c r="N574">
        <v>283.24618499999997</v>
      </c>
      <c r="O574">
        <v>352.4866649999999</v>
      </c>
      <c r="P574">
        <v>902.37851199999989</v>
      </c>
      <c r="Q574">
        <v>710.64988399999982</v>
      </c>
      <c r="R574">
        <f t="shared" si="77"/>
        <v>1.7011180569982436</v>
      </c>
      <c r="S574">
        <v>1.6441671497851276</v>
      </c>
      <c r="T574">
        <v>69.240479999999934</v>
      </c>
      <c r="U574">
        <v>191.72862800000007</v>
      </c>
      <c r="V574">
        <v>549.89184699999998</v>
      </c>
      <c r="W574">
        <v>0.22274952550805893</v>
      </c>
      <c r="AE574">
        <f t="shared" si="79"/>
        <v>1.2609341877634561</v>
      </c>
    </row>
    <row r="575" spans="1:31" x14ac:dyDescent="0.25">
      <c r="A575">
        <v>594.85</v>
      </c>
      <c r="B575">
        <v>8.7289999999999992</v>
      </c>
      <c r="C575">
        <v>77.52</v>
      </c>
      <c r="D575">
        <v>513.38599999999997</v>
      </c>
      <c r="E575">
        <v>345.34699999999998</v>
      </c>
      <c r="F575">
        <v>2.4039999999999999</v>
      </c>
      <c r="G575">
        <v>76.97</v>
      </c>
      <c r="H575">
        <v>75.391000000000005</v>
      </c>
      <c r="I575">
        <v>5.15</v>
      </c>
      <c r="J575">
        <v>8.0009999999999994</v>
      </c>
      <c r="K575">
        <v>53124.37</v>
      </c>
      <c r="L575">
        <v>21.57</v>
      </c>
      <c r="N575">
        <v>283.28839499999992</v>
      </c>
      <c r="O575">
        <v>352.42334999999991</v>
      </c>
      <c r="P575">
        <v>902.94332799999984</v>
      </c>
      <c r="Q575">
        <v>710.03455599999984</v>
      </c>
      <c r="R575">
        <f t="shared" si="77"/>
        <v>1.7040904970539357</v>
      </c>
      <c r="S575">
        <v>1.6464887252646112</v>
      </c>
      <c r="T575">
        <v>69.134954999999991</v>
      </c>
      <c r="U575">
        <v>192.908772</v>
      </c>
      <c r="V575">
        <v>550.51997799999992</v>
      </c>
      <c r="W575">
        <v>0.22483074537941661</v>
      </c>
      <c r="AE575">
        <f t="shared" si="79"/>
        <v>1.2609341877634561</v>
      </c>
    </row>
    <row r="576" spans="1:31" x14ac:dyDescent="0.25">
      <c r="A576">
        <v>595.85</v>
      </c>
      <c r="B576">
        <v>8.7270000000000003</v>
      </c>
      <c r="C576">
        <v>77.406000000000006</v>
      </c>
      <c r="D576">
        <v>515.41300000000001</v>
      </c>
      <c r="E576">
        <v>345.42899999999997</v>
      </c>
      <c r="F576">
        <v>2.387</v>
      </c>
      <c r="G576">
        <v>76.590999999999994</v>
      </c>
      <c r="H576">
        <v>75.117000000000004</v>
      </c>
      <c r="I576">
        <v>5.0119999999999996</v>
      </c>
      <c r="J576">
        <v>7.5339999999999998</v>
      </c>
      <c r="K576">
        <v>53118.07</v>
      </c>
      <c r="L576">
        <v>21.306999999999999</v>
      </c>
      <c r="N576">
        <v>283.28638499999994</v>
      </c>
      <c r="O576">
        <v>352.30877999999996</v>
      </c>
      <c r="P576">
        <v>905.27032399999996</v>
      </c>
      <c r="Q576">
        <v>710.12869199999989</v>
      </c>
      <c r="R576">
        <f t="shared" si="77"/>
        <v>1.7007847988893821</v>
      </c>
      <c r="S576">
        <v>1.6460575788852847</v>
      </c>
      <c r="T576">
        <v>69.022395000000017</v>
      </c>
      <c r="U576">
        <v>195.14163200000007</v>
      </c>
      <c r="V576">
        <v>552.961544</v>
      </c>
      <c r="W576">
        <v>0.22807958052142602</v>
      </c>
      <c r="AE576">
        <f t="shared" si="79"/>
        <v>1.2609341877634561</v>
      </c>
    </row>
    <row r="577" spans="1:31" x14ac:dyDescent="0.25">
      <c r="A577">
        <v>596.85</v>
      </c>
      <c r="B577">
        <v>8.7270000000000003</v>
      </c>
      <c r="C577">
        <v>77.427999999999997</v>
      </c>
      <c r="D577">
        <v>514.91700000000003</v>
      </c>
      <c r="E577">
        <v>345.59</v>
      </c>
      <c r="F577">
        <v>2.3969999999999998</v>
      </c>
      <c r="G577">
        <v>76.462999999999994</v>
      </c>
      <c r="H577">
        <v>75.004999999999995</v>
      </c>
      <c r="I577">
        <v>5.0449999999999999</v>
      </c>
      <c r="J577">
        <v>7.8739999999999997</v>
      </c>
      <c r="K577">
        <v>53106.675000000003</v>
      </c>
      <c r="L577">
        <v>21.565000000000001</v>
      </c>
      <c r="N577">
        <v>283.28638499999994</v>
      </c>
      <c r="O577">
        <v>352.33088999999995</v>
      </c>
      <c r="P577">
        <v>904.70091599999989</v>
      </c>
      <c r="Q577">
        <v>710.31351999999993</v>
      </c>
      <c r="R577">
        <f t="shared" si="77"/>
        <v>1.6994154697489068</v>
      </c>
      <c r="S577">
        <v>1.6445253120825463</v>
      </c>
      <c r="T577">
        <v>69.044505000000015</v>
      </c>
      <c r="U577">
        <v>194.38739599999997</v>
      </c>
      <c r="V577">
        <v>552.37002599999994</v>
      </c>
      <c r="W577">
        <v>0.22691834295874694</v>
      </c>
      <c r="AE577">
        <f t="shared" si="79"/>
        <v>1.2609341877634561</v>
      </c>
    </row>
    <row r="578" spans="1:31" x14ac:dyDescent="0.25">
      <c r="A578">
        <v>597.85</v>
      </c>
      <c r="B578">
        <v>8.7629999999999999</v>
      </c>
      <c r="C578">
        <v>77.450999999999993</v>
      </c>
      <c r="D578">
        <v>516.14800000000002</v>
      </c>
      <c r="E578">
        <v>345.36</v>
      </c>
      <c r="F578">
        <v>2.3740000000000001</v>
      </c>
      <c r="G578">
        <v>76.656999999999996</v>
      </c>
      <c r="H578">
        <v>75.183999999999997</v>
      </c>
      <c r="I578">
        <v>5.0380000000000003</v>
      </c>
      <c r="J578">
        <v>7.6849999999999996</v>
      </c>
      <c r="K578">
        <v>53108.728999999999</v>
      </c>
      <c r="L578">
        <v>21.625</v>
      </c>
      <c r="N578">
        <v>283.32256499999994</v>
      </c>
      <c r="O578">
        <v>352.35400499999997</v>
      </c>
      <c r="P578">
        <v>906.11410399999988</v>
      </c>
      <c r="Q578">
        <v>710.0494799999999</v>
      </c>
      <c r="R578">
        <f t="shared" si="77"/>
        <v>1.70161701645352</v>
      </c>
      <c r="S578">
        <v>1.6462805653319574</v>
      </c>
      <c r="T578">
        <v>69.031440000000032</v>
      </c>
      <c r="U578">
        <v>196.06462399999998</v>
      </c>
      <c r="V578">
        <v>553.76009899999985</v>
      </c>
      <c r="W578">
        <v>0.22940111472350769</v>
      </c>
      <c r="AE578">
        <f t="shared" si="79"/>
        <v>1.2609341877634561</v>
      </c>
    </row>
    <row r="579" spans="1:31" x14ac:dyDescent="0.25">
      <c r="A579">
        <v>598.85</v>
      </c>
      <c r="B579">
        <v>8.7870000000000008</v>
      </c>
      <c r="C579">
        <v>77.370999999999995</v>
      </c>
      <c r="D579">
        <v>515.11400000000003</v>
      </c>
      <c r="E579">
        <v>344.685</v>
      </c>
      <c r="F579">
        <v>2.3849999999999998</v>
      </c>
      <c r="G579">
        <v>76.602000000000004</v>
      </c>
      <c r="H579">
        <v>75.099999999999994</v>
      </c>
      <c r="I579">
        <v>5.1360000000000001</v>
      </c>
      <c r="J579">
        <v>7.8739999999999997</v>
      </c>
      <c r="K579">
        <v>53086.133000000002</v>
      </c>
      <c r="L579">
        <v>20.841000000000001</v>
      </c>
      <c r="N579">
        <v>283.34668499999992</v>
      </c>
      <c r="O579">
        <v>352.27360499999992</v>
      </c>
      <c r="P579">
        <v>904.92707199999995</v>
      </c>
      <c r="Q579">
        <v>709.27458000000001</v>
      </c>
      <c r="R579">
        <f t="shared" si="77"/>
        <v>1.7009208103130755</v>
      </c>
      <c r="S579">
        <v>1.6440222394049855</v>
      </c>
      <c r="T579">
        <v>68.926919999999996</v>
      </c>
      <c r="U579">
        <v>195.65249199999994</v>
      </c>
      <c r="V579">
        <v>552.65346700000009</v>
      </c>
      <c r="W579">
        <v>0.22930385778254769</v>
      </c>
      <c r="AE579">
        <f t="shared" si="79"/>
        <v>1.2609341877634561</v>
      </c>
    </row>
    <row r="580" spans="1:31" x14ac:dyDescent="0.25">
      <c r="A580">
        <v>599.85</v>
      </c>
      <c r="B580">
        <v>8.6809999999999992</v>
      </c>
      <c r="C580">
        <v>77.394999999999996</v>
      </c>
      <c r="D580">
        <v>511.654</v>
      </c>
      <c r="E580">
        <v>344.51799999999997</v>
      </c>
      <c r="F580">
        <v>2.355</v>
      </c>
      <c r="G580">
        <v>76.033000000000001</v>
      </c>
      <c r="H580">
        <v>74.597999999999999</v>
      </c>
      <c r="I580">
        <v>5.1130000000000004</v>
      </c>
      <c r="J580">
        <v>7.343</v>
      </c>
      <c r="K580">
        <v>53067.16</v>
      </c>
      <c r="L580">
        <v>21.245999999999999</v>
      </c>
      <c r="N580">
        <v>283.2401549999999</v>
      </c>
      <c r="O580">
        <v>352.2977249999999</v>
      </c>
      <c r="P580">
        <v>900.95499199999995</v>
      </c>
      <c r="Q580">
        <v>709.08286399999986</v>
      </c>
      <c r="R580">
        <f t="shared" si="77"/>
        <v>1.6960275849038779</v>
      </c>
      <c r="S580">
        <v>1.6397484647325828</v>
      </c>
      <c r="T580">
        <v>69.057569999999998</v>
      </c>
      <c r="U580">
        <v>191.87212800000009</v>
      </c>
      <c r="V580">
        <v>548.65726700000005</v>
      </c>
      <c r="W580">
        <v>0.22384567814354692</v>
      </c>
      <c r="AE580">
        <f t="shared" si="79"/>
        <v>1.2609341877634561</v>
      </c>
    </row>
    <row r="581" spans="1:31" x14ac:dyDescent="0.25">
      <c r="A581">
        <v>600.85</v>
      </c>
      <c r="B581">
        <v>8.6069999999999993</v>
      </c>
      <c r="C581">
        <v>77.381</v>
      </c>
      <c r="D581">
        <v>507.87</v>
      </c>
      <c r="E581">
        <v>344.786</v>
      </c>
      <c r="F581">
        <v>2.3759999999999999</v>
      </c>
      <c r="G581">
        <v>76.135000000000005</v>
      </c>
      <c r="H581">
        <v>74.7</v>
      </c>
      <c r="I581">
        <v>4.9939999999999998</v>
      </c>
      <c r="J581">
        <v>7.7220000000000004</v>
      </c>
      <c r="K581">
        <v>53040.050999999999</v>
      </c>
      <c r="L581">
        <v>22.085999999999999</v>
      </c>
      <c r="N581">
        <v>283.16578499999991</v>
      </c>
      <c r="O581">
        <v>352.2836549999999</v>
      </c>
      <c r="P581">
        <v>896.61095999999986</v>
      </c>
      <c r="Q581">
        <v>709.3905279999999</v>
      </c>
      <c r="R581">
        <f t="shared" ref="R581:R644" si="80">(G581+103.5)/(F581+103.5)</f>
        <v>1.6966545770524009</v>
      </c>
      <c r="S581">
        <v>1.6424871421461094</v>
      </c>
      <c r="T581">
        <v>69.117869999999982</v>
      </c>
      <c r="U581">
        <v>187.22043199999996</v>
      </c>
      <c r="V581">
        <v>544.32730500000002</v>
      </c>
      <c r="W581">
        <v>0.21696975498960128</v>
      </c>
      <c r="AE581">
        <f t="shared" ref="AE581:AE644" si="81">103500/(287*(12.85+273.15))</f>
        <v>1.2609341877634561</v>
      </c>
    </row>
    <row r="582" spans="1:31" x14ac:dyDescent="0.25">
      <c r="A582">
        <v>601.85</v>
      </c>
      <c r="B582">
        <v>8.609</v>
      </c>
      <c r="C582">
        <v>77.203000000000003</v>
      </c>
      <c r="D582">
        <v>508.26400000000001</v>
      </c>
      <c r="E582">
        <v>344.899</v>
      </c>
      <c r="F582">
        <v>2.37</v>
      </c>
      <c r="G582">
        <v>76.090999999999994</v>
      </c>
      <c r="H582">
        <v>74.658000000000001</v>
      </c>
      <c r="I582">
        <v>5.0490000000000004</v>
      </c>
      <c r="J582">
        <v>7.6310000000000002</v>
      </c>
      <c r="K582">
        <v>53019.08</v>
      </c>
      <c r="L582">
        <v>21.285</v>
      </c>
      <c r="N582">
        <v>283.16779499999996</v>
      </c>
      <c r="O582">
        <v>352.10476499999993</v>
      </c>
      <c r="P582">
        <v>897.06327199999987</v>
      </c>
      <c r="Q582">
        <v>709.52025199999991</v>
      </c>
      <c r="R582">
        <f t="shared" si="80"/>
        <v>1.6963351279871541</v>
      </c>
      <c r="S582">
        <v>1.6412679987839593</v>
      </c>
      <c r="T582">
        <v>68.936969999999974</v>
      </c>
      <c r="U582">
        <v>187.54301999999996</v>
      </c>
      <c r="V582">
        <v>544.95850699999994</v>
      </c>
      <c r="W582">
        <v>0.21764234978719213</v>
      </c>
      <c r="AE582">
        <f t="shared" si="81"/>
        <v>1.2609341877634561</v>
      </c>
    </row>
    <row r="583" spans="1:31" x14ac:dyDescent="0.25">
      <c r="A583">
        <v>602.85</v>
      </c>
      <c r="B583">
        <v>8.5869999999999997</v>
      </c>
      <c r="C583">
        <v>77.152000000000001</v>
      </c>
      <c r="D583">
        <v>510.22399999999999</v>
      </c>
      <c r="E583">
        <v>344.63200000000001</v>
      </c>
      <c r="F583">
        <v>2.3849999999999998</v>
      </c>
      <c r="G583">
        <v>76.046999999999997</v>
      </c>
      <c r="H583">
        <v>74.634</v>
      </c>
      <c r="I583">
        <v>5.0880000000000001</v>
      </c>
      <c r="J583">
        <v>7.8369999999999997</v>
      </c>
      <c r="K583">
        <v>52999.08</v>
      </c>
      <c r="L583">
        <v>21.526</v>
      </c>
      <c r="N583">
        <v>283.14568499999996</v>
      </c>
      <c r="O583">
        <v>352.0535099999999</v>
      </c>
      <c r="P583">
        <v>899.31335200000001</v>
      </c>
      <c r="Q583">
        <v>709.21373599999981</v>
      </c>
      <c r="R583">
        <f t="shared" si="80"/>
        <v>1.6956792746847995</v>
      </c>
      <c r="S583">
        <v>1.6404575091170297</v>
      </c>
      <c r="T583">
        <v>68.907824999999946</v>
      </c>
      <c r="U583">
        <v>190.0996160000002</v>
      </c>
      <c r="V583">
        <v>547.25984200000016</v>
      </c>
      <c r="W583">
        <v>0.22145200816689967</v>
      </c>
      <c r="AE583">
        <f t="shared" si="81"/>
        <v>1.2609341877634561</v>
      </c>
    </row>
    <row r="584" spans="1:31" x14ac:dyDescent="0.25">
      <c r="A584">
        <v>603.85</v>
      </c>
      <c r="B584">
        <v>8.5540000000000003</v>
      </c>
      <c r="C584">
        <v>77.197999999999993</v>
      </c>
      <c r="D584">
        <v>509.40100000000001</v>
      </c>
      <c r="E584">
        <v>344.88299999999998</v>
      </c>
      <c r="F584">
        <v>2.3740000000000001</v>
      </c>
      <c r="G584">
        <v>76.012</v>
      </c>
      <c r="H584">
        <v>74.456000000000003</v>
      </c>
      <c r="I584">
        <v>5.0430000000000001</v>
      </c>
      <c r="J584">
        <v>7.5330000000000004</v>
      </c>
      <c r="K584">
        <v>52996.71</v>
      </c>
      <c r="L584">
        <v>21.285</v>
      </c>
      <c r="N584">
        <v>283.1125199999999</v>
      </c>
      <c r="O584">
        <v>352.09973999999994</v>
      </c>
      <c r="P584">
        <v>898.36854799999981</v>
      </c>
      <c r="Q584">
        <v>709.50188399999979</v>
      </c>
      <c r="R584">
        <f t="shared" si="80"/>
        <v>1.6955248691841247</v>
      </c>
      <c r="S584">
        <v>1.6394977105847452</v>
      </c>
      <c r="T584">
        <v>68.987220000000036</v>
      </c>
      <c r="U584">
        <v>188.86666400000001</v>
      </c>
      <c r="V584">
        <v>546.26880799999981</v>
      </c>
      <c r="W584">
        <v>0.21945138042734452</v>
      </c>
      <c r="AE584">
        <f t="shared" si="81"/>
        <v>1.2609341877634561</v>
      </c>
    </row>
    <row r="585" spans="1:31" x14ac:dyDescent="0.25">
      <c r="A585">
        <v>604.85</v>
      </c>
      <c r="B585">
        <v>8.61</v>
      </c>
      <c r="C585">
        <v>77.09</v>
      </c>
      <c r="D585">
        <v>507.55</v>
      </c>
      <c r="E585">
        <v>344.56900000000002</v>
      </c>
      <c r="F585">
        <v>2.4049999999999998</v>
      </c>
      <c r="G585">
        <v>76.349000000000004</v>
      </c>
      <c r="H585">
        <v>74.741</v>
      </c>
      <c r="I585">
        <v>4.9800000000000004</v>
      </c>
      <c r="J585">
        <v>6.9279999999999999</v>
      </c>
      <c r="K585">
        <v>52977.559000000001</v>
      </c>
      <c r="L585">
        <v>21.268000000000001</v>
      </c>
      <c r="N585">
        <v>283.16879999999998</v>
      </c>
      <c r="O585">
        <v>351.99119999999999</v>
      </c>
      <c r="P585">
        <v>896.24360000000001</v>
      </c>
      <c r="Q585">
        <v>709.14141199999995</v>
      </c>
      <c r="R585">
        <f t="shared" si="80"/>
        <v>1.6982106604976157</v>
      </c>
      <c r="S585">
        <v>1.643077064896755</v>
      </c>
      <c r="T585">
        <v>68.822400000000016</v>
      </c>
      <c r="U585">
        <v>187.10218800000007</v>
      </c>
      <c r="V585">
        <v>544.25240000000008</v>
      </c>
      <c r="W585">
        <v>0.2173252483590335</v>
      </c>
      <c r="AE585">
        <f t="shared" si="81"/>
        <v>1.2609341877634561</v>
      </c>
    </row>
    <row r="586" spans="1:31" x14ac:dyDescent="0.25">
      <c r="A586">
        <v>605.85</v>
      </c>
      <c r="B586">
        <v>8.6039999999999992</v>
      </c>
      <c r="C586">
        <v>77.224999999999994</v>
      </c>
      <c r="D586">
        <v>504.779</v>
      </c>
      <c r="E586">
        <v>344.48399999999998</v>
      </c>
      <c r="F586">
        <v>2.3809999999999998</v>
      </c>
      <c r="G586">
        <v>76.072000000000003</v>
      </c>
      <c r="H586">
        <v>74.605999999999995</v>
      </c>
      <c r="I586">
        <v>4.8789999999999996</v>
      </c>
      <c r="J586">
        <v>7.4960000000000004</v>
      </c>
      <c r="K586">
        <v>52980.357000000004</v>
      </c>
      <c r="L586">
        <v>21.285</v>
      </c>
      <c r="N586">
        <v>283.16276999999991</v>
      </c>
      <c r="O586">
        <v>352.12687499999998</v>
      </c>
      <c r="P586">
        <v>893.06249199999991</v>
      </c>
      <c r="Q586">
        <v>709.04383199999995</v>
      </c>
      <c r="R586">
        <f t="shared" si="80"/>
        <v>1.695979448626288</v>
      </c>
      <c r="S586">
        <v>1.6433626440546598</v>
      </c>
      <c r="T586">
        <v>68.964105000000075</v>
      </c>
      <c r="U586">
        <v>184.01865999999995</v>
      </c>
      <c r="V586">
        <v>540.93561699999987</v>
      </c>
      <c r="W586">
        <v>0.21269546944992515</v>
      </c>
      <c r="AE586">
        <f t="shared" si="81"/>
        <v>1.2609341877634561</v>
      </c>
    </row>
    <row r="587" spans="1:31" x14ac:dyDescent="0.25">
      <c r="A587">
        <v>606.85</v>
      </c>
      <c r="B587">
        <v>8.5609999999999999</v>
      </c>
      <c r="C587">
        <v>77.19</v>
      </c>
      <c r="D587">
        <v>505.33499999999998</v>
      </c>
      <c r="E587">
        <v>344.34300000000002</v>
      </c>
      <c r="F587">
        <v>2.4049999999999998</v>
      </c>
      <c r="G587">
        <v>76.408000000000001</v>
      </c>
      <c r="H587">
        <v>74.965000000000003</v>
      </c>
      <c r="I587">
        <v>5.0869999999999997</v>
      </c>
      <c r="J587">
        <v>7.0789999999999997</v>
      </c>
      <c r="K587">
        <v>52988.574000000001</v>
      </c>
      <c r="L587">
        <v>21.038</v>
      </c>
      <c r="N587">
        <v>283.11955499999993</v>
      </c>
      <c r="O587">
        <v>352.09169999999995</v>
      </c>
      <c r="P587">
        <v>893.70077999999978</v>
      </c>
      <c r="Q587">
        <v>708.88196399999993</v>
      </c>
      <c r="R587">
        <f t="shared" si="80"/>
        <v>1.6987677635616827</v>
      </c>
      <c r="S587">
        <v>1.6435208634551097</v>
      </c>
      <c r="T587">
        <v>68.972145000000012</v>
      </c>
      <c r="U587">
        <v>184.81881599999986</v>
      </c>
      <c r="V587">
        <v>541.60907999999984</v>
      </c>
      <c r="W587">
        <v>0.21389351707323645</v>
      </c>
      <c r="AE587">
        <f t="shared" si="81"/>
        <v>1.2609341877634561</v>
      </c>
    </row>
    <row r="588" spans="1:31" x14ac:dyDescent="0.25">
      <c r="A588">
        <v>607.85</v>
      </c>
      <c r="B588">
        <v>8.4610000000000003</v>
      </c>
      <c r="C588">
        <v>77.230999999999995</v>
      </c>
      <c r="D588">
        <v>504.88799999999998</v>
      </c>
      <c r="E588">
        <v>344.98899999999998</v>
      </c>
      <c r="F588">
        <v>2.3879999999999999</v>
      </c>
      <c r="G588">
        <v>76.049000000000007</v>
      </c>
      <c r="H588">
        <v>74.626999999999995</v>
      </c>
      <c r="I588">
        <v>5.0720000000000001</v>
      </c>
      <c r="J588">
        <v>6.7080000000000002</v>
      </c>
      <c r="K588">
        <v>53000.81</v>
      </c>
      <c r="L588">
        <v>21.181000000000001</v>
      </c>
      <c r="N588">
        <v>283.01905499999998</v>
      </c>
      <c r="O588">
        <v>352.13290499999994</v>
      </c>
      <c r="P588">
        <v>893.18762399999991</v>
      </c>
      <c r="Q588">
        <v>709.62357199999985</v>
      </c>
      <c r="R588">
        <f t="shared" si="80"/>
        <v>1.6956501208824417</v>
      </c>
      <c r="S588">
        <v>1.6406347861327046</v>
      </c>
      <c r="T588">
        <v>69.113849999999957</v>
      </c>
      <c r="U588">
        <v>183.56405200000006</v>
      </c>
      <c r="V588">
        <v>541.05471899999998</v>
      </c>
      <c r="W588">
        <v>0.21153165840884222</v>
      </c>
      <c r="AE588">
        <f t="shared" si="81"/>
        <v>1.2609341877634561</v>
      </c>
    </row>
    <row r="589" spans="1:31" x14ac:dyDescent="0.25">
      <c r="A589">
        <v>608.85</v>
      </c>
      <c r="B589">
        <v>8.5129999999999999</v>
      </c>
      <c r="C589">
        <v>77.302999999999997</v>
      </c>
      <c r="D589">
        <v>504.637</v>
      </c>
      <c r="E589">
        <v>344.95800000000003</v>
      </c>
      <c r="F589">
        <v>2.375</v>
      </c>
      <c r="G589">
        <v>75.486000000000004</v>
      </c>
      <c r="H589">
        <v>74.063999999999993</v>
      </c>
      <c r="I589">
        <v>5.24</v>
      </c>
      <c r="J589">
        <v>7.798</v>
      </c>
      <c r="K589">
        <v>52999.216999999997</v>
      </c>
      <c r="L589">
        <v>21.646999999999998</v>
      </c>
      <c r="N589">
        <v>283.07131499999991</v>
      </c>
      <c r="O589">
        <v>352.20526499999994</v>
      </c>
      <c r="P589">
        <v>892.89947599999994</v>
      </c>
      <c r="Q589">
        <v>709.58798399999989</v>
      </c>
      <c r="R589">
        <f t="shared" si="80"/>
        <v>1.6905407319952774</v>
      </c>
      <c r="S589">
        <v>1.6329225675924224</v>
      </c>
      <c r="T589">
        <v>69.133950000000027</v>
      </c>
      <c r="U589">
        <v>183.31149200000004</v>
      </c>
      <c r="V589">
        <v>540.694211</v>
      </c>
      <c r="W589">
        <v>0.21116841955609547</v>
      </c>
      <c r="AE589">
        <f t="shared" si="81"/>
        <v>1.2609341877634561</v>
      </c>
    </row>
    <row r="590" spans="1:31" x14ac:dyDescent="0.25">
      <c r="A590">
        <v>609.85</v>
      </c>
      <c r="B590">
        <v>8.843</v>
      </c>
      <c r="C590">
        <v>77.45</v>
      </c>
      <c r="D590">
        <v>503.642</v>
      </c>
      <c r="E590">
        <v>345.15600000000001</v>
      </c>
      <c r="F590">
        <v>2.3690000000000002</v>
      </c>
      <c r="G590">
        <v>75.465999999999994</v>
      </c>
      <c r="H590">
        <v>73.989000000000004</v>
      </c>
      <c r="I590">
        <v>5.1050000000000004</v>
      </c>
      <c r="J590">
        <v>6.9649999999999999</v>
      </c>
      <c r="K590">
        <v>52950.974999999999</v>
      </c>
      <c r="L590">
        <v>21.164000000000001</v>
      </c>
      <c r="N590">
        <v>283.40296499999994</v>
      </c>
      <c r="O590">
        <v>352.35299999999995</v>
      </c>
      <c r="P590">
        <v>891.75721599999986</v>
      </c>
      <c r="Q590">
        <v>709.81528800000001</v>
      </c>
      <c r="R590">
        <f t="shared" si="80"/>
        <v>1.6904476286731716</v>
      </c>
      <c r="S590">
        <v>1.6342617743197827</v>
      </c>
      <c r="T590">
        <v>68.950035000000014</v>
      </c>
      <c r="U590">
        <v>181.94192799999985</v>
      </c>
      <c r="V590">
        <v>539.40421599999991</v>
      </c>
      <c r="W590">
        <v>0.20947536123818478</v>
      </c>
      <c r="AE590">
        <f t="shared" si="81"/>
        <v>1.2609341877634561</v>
      </c>
    </row>
    <row r="591" spans="1:31" x14ac:dyDescent="0.25">
      <c r="A591">
        <v>610.85</v>
      </c>
      <c r="B591">
        <v>9.0120000000000005</v>
      </c>
      <c r="C591">
        <v>77.503</v>
      </c>
      <c r="D591">
        <v>504.30799999999999</v>
      </c>
      <c r="E591">
        <v>345.37900000000002</v>
      </c>
      <c r="F591">
        <v>2.3679999999999999</v>
      </c>
      <c r="G591">
        <v>75.686000000000007</v>
      </c>
      <c r="H591">
        <v>74.119</v>
      </c>
      <c r="I591">
        <v>5.0430000000000001</v>
      </c>
      <c r="J591">
        <v>7.5709999999999997</v>
      </c>
      <c r="K591">
        <v>52911.411999999997</v>
      </c>
      <c r="L591">
        <v>21.498999999999999</v>
      </c>
      <c r="N591">
        <v>283.57280999999995</v>
      </c>
      <c r="O591">
        <v>352.40626499999991</v>
      </c>
      <c r="P591">
        <v>892.52178399999991</v>
      </c>
      <c r="Q591">
        <v>710.07129199999997</v>
      </c>
      <c r="R591">
        <f t="shared" si="80"/>
        <v>1.6925416556466544</v>
      </c>
      <c r="S591">
        <v>1.6363929502593442</v>
      </c>
      <c r="T591">
        <v>68.833454999999958</v>
      </c>
      <c r="U591">
        <v>182.45049199999994</v>
      </c>
      <c r="V591">
        <v>540.11551899999995</v>
      </c>
      <c r="W591">
        <v>0.21035691996104261</v>
      </c>
      <c r="AE591">
        <f t="shared" si="81"/>
        <v>1.2609341877634561</v>
      </c>
    </row>
    <row r="592" spans="1:31" x14ac:dyDescent="0.25">
      <c r="A592">
        <v>611.85</v>
      </c>
      <c r="B592">
        <v>9.24</v>
      </c>
      <c r="C592">
        <v>77.445999999999998</v>
      </c>
      <c r="D592">
        <v>506.53</v>
      </c>
      <c r="E592">
        <v>345.22300000000001</v>
      </c>
      <c r="F592">
        <v>2.3559999999999999</v>
      </c>
      <c r="G592">
        <v>75.378</v>
      </c>
      <c r="H592">
        <v>74.099999999999994</v>
      </c>
      <c r="I592">
        <v>4.93</v>
      </c>
      <c r="J592">
        <v>7.3440000000000003</v>
      </c>
      <c r="K592">
        <v>52895.35</v>
      </c>
      <c r="L592">
        <v>20.972000000000001</v>
      </c>
      <c r="N592">
        <v>283.80194999999998</v>
      </c>
      <c r="O592">
        <v>352.34897999999998</v>
      </c>
      <c r="P592">
        <v>895.07263999999986</v>
      </c>
      <c r="Q592">
        <v>709.89220399999999</v>
      </c>
      <c r="R592">
        <f t="shared" si="80"/>
        <v>1.6898239117291414</v>
      </c>
      <c r="S592">
        <v>1.6379230840173382</v>
      </c>
      <c r="T592">
        <v>68.547030000000007</v>
      </c>
      <c r="U592">
        <v>185.18043599999987</v>
      </c>
      <c r="V592">
        <v>542.72365999999988</v>
      </c>
      <c r="W592">
        <v>0.21490385364809761</v>
      </c>
      <c r="AE592">
        <f t="shared" si="81"/>
        <v>1.2609341877634561</v>
      </c>
    </row>
    <row r="593" spans="1:31" x14ac:dyDescent="0.25">
      <c r="A593">
        <v>612.85</v>
      </c>
      <c r="B593">
        <v>9.3390000000000004</v>
      </c>
      <c r="C593">
        <v>77.409000000000006</v>
      </c>
      <c r="D593">
        <v>508.03300000000002</v>
      </c>
      <c r="E593">
        <v>344.72300000000001</v>
      </c>
      <c r="F593">
        <v>2.3559999999999999</v>
      </c>
      <c r="G593">
        <v>75.653999999999996</v>
      </c>
      <c r="H593">
        <v>74.203000000000003</v>
      </c>
      <c r="I593">
        <v>4.88</v>
      </c>
      <c r="J593">
        <v>7.7229999999999999</v>
      </c>
      <c r="K593">
        <v>52880.849000000002</v>
      </c>
      <c r="L593">
        <v>21.175000000000001</v>
      </c>
      <c r="N593">
        <v>283.90144499999997</v>
      </c>
      <c r="O593">
        <v>352.3117949999999</v>
      </c>
      <c r="P593">
        <v>896.7980839999999</v>
      </c>
      <c r="Q593">
        <v>709.31820400000004</v>
      </c>
      <c r="R593">
        <f t="shared" si="80"/>
        <v>1.6924312273276905</v>
      </c>
      <c r="S593">
        <v>1.6396290828566158</v>
      </c>
      <c r="T593">
        <v>68.410349999999937</v>
      </c>
      <c r="U593">
        <v>187.47987999999987</v>
      </c>
      <c r="V593">
        <v>544.48628899999994</v>
      </c>
      <c r="W593">
        <v>0.21868232939103438</v>
      </c>
      <c r="AE593">
        <f t="shared" si="81"/>
        <v>1.2609341877634561</v>
      </c>
    </row>
    <row r="594" spans="1:31" x14ac:dyDescent="0.25">
      <c r="A594">
        <v>613.85</v>
      </c>
      <c r="B594">
        <v>9.4469999999999992</v>
      </c>
      <c r="C594">
        <v>77.355999999999995</v>
      </c>
      <c r="D594">
        <v>509.47399999999999</v>
      </c>
      <c r="E594">
        <v>344.85300000000001</v>
      </c>
      <c r="F594">
        <v>2.3660000000000001</v>
      </c>
      <c r="G594">
        <v>75.575000000000003</v>
      </c>
      <c r="H594">
        <v>74.290000000000006</v>
      </c>
      <c r="I594">
        <v>5.1459999999999999</v>
      </c>
      <c r="J594">
        <v>7.5339999999999998</v>
      </c>
      <c r="K594">
        <v>52890.02</v>
      </c>
      <c r="L594">
        <v>21.4</v>
      </c>
      <c r="N594">
        <v>284.00998499999997</v>
      </c>
      <c r="O594">
        <v>352.25852999999995</v>
      </c>
      <c r="P594">
        <v>898.45235199999991</v>
      </c>
      <c r="Q594">
        <v>709.46744399999989</v>
      </c>
      <c r="R594">
        <f t="shared" si="80"/>
        <v>1.6915251355487124</v>
      </c>
      <c r="S594">
        <v>1.6364155146070727</v>
      </c>
      <c r="T594">
        <v>68.248544999999979</v>
      </c>
      <c r="U594">
        <v>188.98490800000002</v>
      </c>
      <c r="V594">
        <v>546.19382199999995</v>
      </c>
      <c r="W594">
        <v>0.22105040031009368</v>
      </c>
      <c r="AE594">
        <f t="shared" si="81"/>
        <v>1.2609341877634561</v>
      </c>
    </row>
    <row r="595" spans="1:31" x14ac:dyDescent="0.25">
      <c r="A595">
        <v>614.85</v>
      </c>
      <c r="B595">
        <v>9.3390000000000004</v>
      </c>
      <c r="C595">
        <v>77.332999999999998</v>
      </c>
      <c r="D595">
        <v>509.02100000000002</v>
      </c>
      <c r="E595">
        <v>345.15199999999999</v>
      </c>
      <c r="F595">
        <v>2.3540000000000001</v>
      </c>
      <c r="G595">
        <v>76.048000000000002</v>
      </c>
      <c r="H595">
        <v>74.557000000000002</v>
      </c>
      <c r="I595">
        <v>5.0599999999999996</v>
      </c>
      <c r="J595">
        <v>7.7359999999999998</v>
      </c>
      <c r="K595">
        <v>52904.837</v>
      </c>
      <c r="L595">
        <v>20.763999999999999</v>
      </c>
      <c r="N595">
        <v>283.90144499999997</v>
      </c>
      <c r="O595">
        <v>352.23541499999993</v>
      </c>
      <c r="P595">
        <v>897.93230800000003</v>
      </c>
      <c r="Q595">
        <v>709.81069599999989</v>
      </c>
      <c r="R595">
        <f t="shared" si="80"/>
        <v>1.6961853118446162</v>
      </c>
      <c r="S595">
        <v>1.6401713338246133</v>
      </c>
      <c r="T595">
        <v>68.333969999999965</v>
      </c>
      <c r="U595">
        <v>188.12161200000014</v>
      </c>
      <c r="V595">
        <v>545.69689300000005</v>
      </c>
      <c r="W595">
        <v>0.21951314646755771</v>
      </c>
      <c r="AE595">
        <f t="shared" si="81"/>
        <v>1.2609341877634561</v>
      </c>
    </row>
    <row r="596" spans="1:31" x14ac:dyDescent="0.25">
      <c r="A596">
        <v>615.85</v>
      </c>
      <c r="B596">
        <v>9.3109999999999999</v>
      </c>
      <c r="C596">
        <v>77.436999999999998</v>
      </c>
      <c r="D596">
        <v>511.03399999999999</v>
      </c>
      <c r="E596">
        <v>344.798</v>
      </c>
      <c r="F596">
        <v>2.3839999999999999</v>
      </c>
      <c r="G596">
        <v>76.417000000000002</v>
      </c>
      <c r="H596">
        <v>74.888999999999996</v>
      </c>
      <c r="I596">
        <v>5.117</v>
      </c>
      <c r="J596">
        <v>6.87</v>
      </c>
      <c r="K596">
        <v>52928.968999999997</v>
      </c>
      <c r="L596">
        <v>21.065000000000001</v>
      </c>
      <c r="N596">
        <v>283.8733049999999</v>
      </c>
      <c r="O596">
        <v>352.33993499999997</v>
      </c>
      <c r="P596">
        <v>900.24323199999992</v>
      </c>
      <c r="Q596">
        <v>709.40430399999991</v>
      </c>
      <c r="R596">
        <f t="shared" si="80"/>
        <v>1.6991896792716559</v>
      </c>
      <c r="S596">
        <v>1.642367216918162</v>
      </c>
      <c r="T596">
        <v>68.466630000000066</v>
      </c>
      <c r="U596">
        <v>190.83892800000001</v>
      </c>
      <c r="V596">
        <v>547.90329699999995</v>
      </c>
      <c r="W596">
        <v>0.22334652605676866</v>
      </c>
      <c r="AE596">
        <f t="shared" si="81"/>
        <v>1.2609341877634561</v>
      </c>
    </row>
    <row r="597" spans="1:31" x14ac:dyDescent="0.25">
      <c r="A597">
        <v>616.85</v>
      </c>
      <c r="B597">
        <v>9.2460000000000004</v>
      </c>
      <c r="C597">
        <v>77.415000000000006</v>
      </c>
      <c r="D597">
        <v>509.70499999999998</v>
      </c>
      <c r="E597">
        <v>344.79399999999998</v>
      </c>
      <c r="F597">
        <v>2.38</v>
      </c>
      <c r="G597">
        <v>76.316999999999993</v>
      </c>
      <c r="H597">
        <v>74.822999999999993</v>
      </c>
      <c r="I597">
        <v>5.0469999999999997</v>
      </c>
      <c r="J597">
        <v>7.117</v>
      </c>
      <c r="K597">
        <v>52952.972999999998</v>
      </c>
      <c r="L597">
        <v>21.17</v>
      </c>
      <c r="N597">
        <v>283.80797999999993</v>
      </c>
      <c r="O597">
        <v>352.31782499999997</v>
      </c>
      <c r="P597">
        <v>898.71753999999999</v>
      </c>
      <c r="Q597">
        <v>709.39971199999991</v>
      </c>
      <c r="R597">
        <f t="shared" si="80"/>
        <v>1.6983094068757085</v>
      </c>
      <c r="S597">
        <v>1.642818318332151</v>
      </c>
      <c r="T597">
        <v>68.509845000000041</v>
      </c>
      <c r="U597">
        <v>189.31782800000008</v>
      </c>
      <c r="V597">
        <v>546.39971500000001</v>
      </c>
      <c r="W597">
        <v>0.22109818084367053</v>
      </c>
      <c r="AE597">
        <f t="shared" si="81"/>
        <v>1.2609341877634561</v>
      </c>
    </row>
    <row r="598" spans="1:31" x14ac:dyDescent="0.25">
      <c r="A598">
        <v>617.85</v>
      </c>
      <c r="B598">
        <v>9.141</v>
      </c>
      <c r="C598">
        <v>77.388999999999996</v>
      </c>
      <c r="D598">
        <v>510.048</v>
      </c>
      <c r="E598">
        <v>344.47800000000001</v>
      </c>
      <c r="F598">
        <v>2.38</v>
      </c>
      <c r="G598">
        <v>76.165000000000006</v>
      </c>
      <c r="H598">
        <v>74.760999999999996</v>
      </c>
      <c r="I598">
        <v>5.1609999999999996</v>
      </c>
      <c r="J598">
        <v>7.6849999999999996</v>
      </c>
      <c r="K598">
        <v>52971.485000000001</v>
      </c>
      <c r="L598">
        <v>21.192</v>
      </c>
      <c r="N598">
        <v>283.70245499999999</v>
      </c>
      <c r="O598">
        <v>352.29169499999995</v>
      </c>
      <c r="P598">
        <v>899.1113039999999</v>
      </c>
      <c r="Q598">
        <v>709.03694399999983</v>
      </c>
      <c r="R598">
        <f t="shared" si="80"/>
        <v>1.6968738194182096</v>
      </c>
      <c r="S598">
        <v>1.6405241991146777</v>
      </c>
      <c r="T598">
        <v>68.589239999999961</v>
      </c>
      <c r="U598">
        <v>190.07436000000007</v>
      </c>
      <c r="V598">
        <v>546.8196089999999</v>
      </c>
      <c r="W598">
        <v>0.22216672189603232</v>
      </c>
      <c r="AE598">
        <f t="shared" si="81"/>
        <v>1.2609341877634561</v>
      </c>
    </row>
    <row r="599" spans="1:31" x14ac:dyDescent="0.25">
      <c r="A599">
        <v>618.85</v>
      </c>
      <c r="B599">
        <v>9.0229999999999997</v>
      </c>
      <c r="C599">
        <v>77.379000000000005</v>
      </c>
      <c r="D599">
        <v>509.63299999999998</v>
      </c>
      <c r="E599">
        <v>344.94900000000001</v>
      </c>
      <c r="F599">
        <v>2.375</v>
      </c>
      <c r="G599">
        <v>76.183999999999997</v>
      </c>
      <c r="H599">
        <v>74.786000000000001</v>
      </c>
      <c r="I599">
        <v>5.1079999999999997</v>
      </c>
      <c r="J599">
        <v>7.5339999999999998</v>
      </c>
      <c r="K599">
        <v>52989.544000000002</v>
      </c>
      <c r="L599">
        <v>21.811</v>
      </c>
      <c r="N599">
        <v>283.58386499999995</v>
      </c>
      <c r="O599">
        <v>352.28164499999997</v>
      </c>
      <c r="P599">
        <v>898.63488399999983</v>
      </c>
      <c r="Q599">
        <v>709.57765199999983</v>
      </c>
      <c r="R599">
        <f t="shared" si="80"/>
        <v>1.697133412042503</v>
      </c>
      <c r="S599">
        <v>1.6415549499116087</v>
      </c>
      <c r="T599">
        <v>68.697780000000023</v>
      </c>
      <c r="U599">
        <v>189.057232</v>
      </c>
      <c r="V599">
        <v>546.3532389999998</v>
      </c>
      <c r="W599">
        <v>0.22029603452209059</v>
      </c>
      <c r="AE599">
        <f t="shared" si="81"/>
        <v>1.2609341877634561</v>
      </c>
    </row>
    <row r="600" spans="1:31" x14ac:dyDescent="0.25">
      <c r="A600">
        <v>619.85</v>
      </c>
      <c r="B600">
        <v>8.9060000000000006</v>
      </c>
      <c r="C600">
        <v>77.375</v>
      </c>
      <c r="D600">
        <v>508.255</v>
      </c>
      <c r="E600">
        <v>344.24200000000002</v>
      </c>
      <c r="F600">
        <v>2.3879999999999999</v>
      </c>
      <c r="G600">
        <v>76.153000000000006</v>
      </c>
      <c r="H600">
        <v>74.655000000000001</v>
      </c>
      <c r="I600">
        <v>4.9109999999999996</v>
      </c>
      <c r="J600">
        <v>7.9870000000000001</v>
      </c>
      <c r="K600">
        <v>52997.858</v>
      </c>
      <c r="L600">
        <v>21.949000000000002</v>
      </c>
      <c r="N600">
        <v>283.46627999999993</v>
      </c>
      <c r="O600">
        <v>352.27762499999994</v>
      </c>
      <c r="P600">
        <v>897.05293999999992</v>
      </c>
      <c r="Q600">
        <v>708.76601600000004</v>
      </c>
      <c r="R600">
        <f t="shared" si="80"/>
        <v>1.6966322907222726</v>
      </c>
      <c r="S600">
        <v>1.6433295514292829</v>
      </c>
      <c r="T600">
        <v>68.811345000000017</v>
      </c>
      <c r="U600">
        <v>188.28692399999989</v>
      </c>
      <c r="V600">
        <v>544.77531499999998</v>
      </c>
      <c r="W600">
        <v>0.21931166062471072</v>
      </c>
      <c r="AE600">
        <f t="shared" si="81"/>
        <v>1.2609341877634561</v>
      </c>
    </row>
    <row r="601" spans="1:31" x14ac:dyDescent="0.25">
      <c r="A601">
        <v>620.85</v>
      </c>
      <c r="B601">
        <v>8.8659999999999997</v>
      </c>
      <c r="C601">
        <v>77.209000000000003</v>
      </c>
      <c r="D601">
        <v>510.09899999999999</v>
      </c>
      <c r="E601">
        <v>344.21499999999997</v>
      </c>
      <c r="F601">
        <v>2.41</v>
      </c>
      <c r="G601">
        <v>76.629000000000005</v>
      </c>
      <c r="H601">
        <v>75.093000000000004</v>
      </c>
      <c r="I601">
        <v>5.08</v>
      </c>
      <c r="J601">
        <v>6.8520000000000003</v>
      </c>
      <c r="K601">
        <v>53002.273999999998</v>
      </c>
      <c r="L601">
        <v>21.640999999999998</v>
      </c>
      <c r="N601">
        <v>283.42607999999996</v>
      </c>
      <c r="O601">
        <v>352.11079499999994</v>
      </c>
      <c r="P601">
        <v>899.16985199999999</v>
      </c>
      <c r="Q601">
        <v>708.73501999999996</v>
      </c>
      <c r="R601">
        <f t="shared" si="80"/>
        <v>1.7007742422811825</v>
      </c>
      <c r="S601">
        <v>1.6448056732363237</v>
      </c>
      <c r="T601">
        <v>68.684714999999983</v>
      </c>
      <c r="U601">
        <v>190.43483200000003</v>
      </c>
      <c r="V601">
        <v>547.05905700000005</v>
      </c>
      <c r="W601">
        <v>0.22255388233157436</v>
      </c>
      <c r="AE601">
        <f t="shared" si="81"/>
        <v>1.2609341877634561</v>
      </c>
    </row>
    <row r="602" spans="1:31" x14ac:dyDescent="0.25">
      <c r="A602">
        <v>621.85</v>
      </c>
      <c r="B602">
        <v>9.0380000000000003</v>
      </c>
      <c r="C602">
        <v>77.266999999999996</v>
      </c>
      <c r="D602">
        <v>512.16300000000001</v>
      </c>
      <c r="E602">
        <v>344.65699999999998</v>
      </c>
      <c r="F602">
        <v>2.4009999999999998</v>
      </c>
      <c r="G602">
        <v>76.382000000000005</v>
      </c>
      <c r="H602">
        <v>74.989000000000004</v>
      </c>
      <c r="I602">
        <v>5.0780000000000003</v>
      </c>
      <c r="J602">
        <v>7.9450000000000003</v>
      </c>
      <c r="K602">
        <v>53032.61</v>
      </c>
      <c r="L602">
        <v>21.74</v>
      </c>
      <c r="N602">
        <v>283.59893999999997</v>
      </c>
      <c r="O602">
        <v>352.16908499999994</v>
      </c>
      <c r="P602">
        <v>901.53932399999997</v>
      </c>
      <c r="Q602">
        <v>709.242436</v>
      </c>
      <c r="R602">
        <f t="shared" si="80"/>
        <v>1.6985864156145836</v>
      </c>
      <c r="S602">
        <v>1.6438781336919082</v>
      </c>
      <c r="T602">
        <v>68.570144999999968</v>
      </c>
      <c r="U602">
        <v>192.29688799999997</v>
      </c>
      <c r="V602">
        <v>549.37023900000008</v>
      </c>
      <c r="W602">
        <v>0.22521559090134838</v>
      </c>
      <c r="AE602">
        <f t="shared" si="81"/>
        <v>1.2609341877634561</v>
      </c>
    </row>
    <row r="603" spans="1:31" x14ac:dyDescent="0.25">
      <c r="A603">
        <v>622.85</v>
      </c>
      <c r="B603">
        <v>9.1809999999999992</v>
      </c>
      <c r="C603">
        <v>77.331999999999994</v>
      </c>
      <c r="D603">
        <v>512.04100000000005</v>
      </c>
      <c r="E603">
        <v>344.428</v>
      </c>
      <c r="F603">
        <v>2.39</v>
      </c>
      <c r="G603">
        <v>76.507000000000005</v>
      </c>
      <c r="H603">
        <v>75.141999999999996</v>
      </c>
      <c r="I603">
        <v>5.05</v>
      </c>
      <c r="J603">
        <v>7.327</v>
      </c>
      <c r="K603">
        <v>53053.694000000003</v>
      </c>
      <c r="L603">
        <v>21.827999999999999</v>
      </c>
      <c r="N603">
        <v>283.74265499999996</v>
      </c>
      <c r="O603">
        <v>352.23440999999991</v>
      </c>
      <c r="P603">
        <v>901.39926800000001</v>
      </c>
      <c r="Q603">
        <v>708.97954399999992</v>
      </c>
      <c r="R603">
        <f t="shared" si="80"/>
        <v>1.6999433374256303</v>
      </c>
      <c r="S603">
        <v>1.6457116536158451</v>
      </c>
      <c r="T603">
        <v>68.491754999999955</v>
      </c>
      <c r="U603">
        <v>192.41972400000009</v>
      </c>
      <c r="V603">
        <v>549.16485800000009</v>
      </c>
      <c r="W603">
        <v>0.22566624064644739</v>
      </c>
      <c r="AE603">
        <f t="shared" si="81"/>
        <v>1.2609341877634561</v>
      </c>
    </row>
    <row r="604" spans="1:31" x14ac:dyDescent="0.25">
      <c r="A604">
        <v>623.85</v>
      </c>
      <c r="B604">
        <v>9.2469999999999999</v>
      </c>
      <c r="C604">
        <v>77.340999999999994</v>
      </c>
      <c r="D604">
        <v>512.09799999999996</v>
      </c>
      <c r="E604">
        <v>344.64100000000002</v>
      </c>
      <c r="F604">
        <v>2.4</v>
      </c>
      <c r="G604">
        <v>76.412999999999997</v>
      </c>
      <c r="H604">
        <v>74.930000000000007</v>
      </c>
      <c r="I604">
        <v>4.907</v>
      </c>
      <c r="J604">
        <v>7.117</v>
      </c>
      <c r="K604">
        <v>53063.31</v>
      </c>
      <c r="L604">
        <v>21.673999999999999</v>
      </c>
      <c r="N604">
        <v>283.80898499999995</v>
      </c>
      <c r="O604">
        <v>352.24345499999993</v>
      </c>
      <c r="P604">
        <v>901.46470399999987</v>
      </c>
      <c r="Q604">
        <v>709.22406799999987</v>
      </c>
      <c r="R604">
        <f t="shared" si="80"/>
        <v>1.6988951841359774</v>
      </c>
      <c r="S604">
        <v>1.645926923538148</v>
      </c>
      <c r="T604">
        <v>68.434469999999976</v>
      </c>
      <c r="U604">
        <v>192.24063599999999</v>
      </c>
      <c r="V604">
        <v>549.22124899999994</v>
      </c>
      <c r="W604">
        <v>0.22542129647281733</v>
      </c>
      <c r="AE604">
        <f t="shared" si="81"/>
        <v>1.2609341877634561</v>
      </c>
    </row>
    <row r="605" spans="1:31" x14ac:dyDescent="0.25">
      <c r="A605">
        <v>624.85</v>
      </c>
      <c r="B605">
        <v>9.3070000000000004</v>
      </c>
      <c r="C605">
        <v>77.406000000000006</v>
      </c>
      <c r="D605">
        <v>512.03300000000002</v>
      </c>
      <c r="E605">
        <v>345.03300000000002</v>
      </c>
      <c r="F605">
        <v>2.3769999999999998</v>
      </c>
      <c r="G605">
        <v>75.822999999999993</v>
      </c>
      <c r="H605">
        <v>74.363</v>
      </c>
      <c r="I605">
        <v>5.024</v>
      </c>
      <c r="J605">
        <v>6.9649999999999999</v>
      </c>
      <c r="K605">
        <v>53043.69</v>
      </c>
      <c r="L605">
        <v>21.12</v>
      </c>
      <c r="N605">
        <v>283.86928499999999</v>
      </c>
      <c r="O605">
        <v>352.30877999999996</v>
      </c>
      <c r="P605">
        <v>901.39008399999989</v>
      </c>
      <c r="Q605">
        <v>709.67408399999988</v>
      </c>
      <c r="R605">
        <f t="shared" si="80"/>
        <v>1.6936917366377966</v>
      </c>
      <c r="S605">
        <v>1.6389277947735064</v>
      </c>
      <c r="T605">
        <v>68.439494999999965</v>
      </c>
      <c r="U605">
        <v>191.71600000000001</v>
      </c>
      <c r="V605">
        <v>549.08130399999993</v>
      </c>
      <c r="W605">
        <v>0.22451411858670761</v>
      </c>
      <c r="AE605">
        <f t="shared" si="81"/>
        <v>1.2609341877634561</v>
      </c>
    </row>
    <row r="606" spans="1:31" x14ac:dyDescent="0.25">
      <c r="A606">
        <v>625.85</v>
      </c>
      <c r="B606">
        <v>9.3819999999999997</v>
      </c>
      <c r="C606">
        <v>77.5</v>
      </c>
      <c r="D606">
        <v>511.29599999999999</v>
      </c>
      <c r="E606">
        <v>344.74700000000001</v>
      </c>
      <c r="F606">
        <v>2.375</v>
      </c>
      <c r="G606">
        <v>75.872</v>
      </c>
      <c r="H606">
        <v>74.347999999999999</v>
      </c>
      <c r="I606">
        <v>4.944</v>
      </c>
      <c r="J606">
        <v>7.61</v>
      </c>
      <c r="K606">
        <v>53014.389000000003</v>
      </c>
      <c r="L606">
        <v>21.728999999999999</v>
      </c>
      <c r="N606">
        <v>283.94465999999994</v>
      </c>
      <c r="O606">
        <v>352.40324999999996</v>
      </c>
      <c r="P606">
        <v>900.54400799999985</v>
      </c>
      <c r="Q606">
        <v>709.34575599999982</v>
      </c>
      <c r="R606">
        <f t="shared" si="80"/>
        <v>1.6941865407319954</v>
      </c>
      <c r="S606">
        <v>1.6399985245841173</v>
      </c>
      <c r="T606">
        <v>68.458590000000015</v>
      </c>
      <c r="U606">
        <v>191.19825200000002</v>
      </c>
      <c r="V606">
        <v>548.14075799999989</v>
      </c>
      <c r="W606">
        <v>0.2239199698410313</v>
      </c>
      <c r="AE606">
        <f t="shared" si="81"/>
        <v>1.2609341877634561</v>
      </c>
    </row>
    <row r="607" spans="1:31" x14ac:dyDescent="0.25">
      <c r="A607">
        <v>626.85</v>
      </c>
      <c r="B607">
        <v>9.3740000000000006</v>
      </c>
      <c r="C607">
        <v>77.409000000000006</v>
      </c>
      <c r="D607">
        <v>509.93900000000002</v>
      </c>
      <c r="E607">
        <v>344.565</v>
      </c>
      <c r="F607">
        <v>2.383</v>
      </c>
      <c r="G607">
        <v>75.882999999999996</v>
      </c>
      <c r="H607">
        <v>74.286000000000001</v>
      </c>
      <c r="I607">
        <v>5.0640000000000001</v>
      </c>
      <c r="J607">
        <v>7.7240000000000002</v>
      </c>
      <c r="K607">
        <v>52963.131000000001</v>
      </c>
      <c r="L607">
        <v>21.126000000000001</v>
      </c>
      <c r="N607">
        <v>283.93661999999995</v>
      </c>
      <c r="O607">
        <v>352.3117949999999</v>
      </c>
      <c r="P607">
        <v>898.9861719999999</v>
      </c>
      <c r="Q607">
        <v>709.13681999999983</v>
      </c>
      <c r="R607">
        <f t="shared" si="80"/>
        <v>1.694162424562961</v>
      </c>
      <c r="S607">
        <v>1.6376146788990826</v>
      </c>
      <c r="T607">
        <v>68.375174999999956</v>
      </c>
      <c r="U607">
        <v>189.84935200000007</v>
      </c>
      <c r="V607">
        <v>546.67437700000005</v>
      </c>
      <c r="W607">
        <v>0.22220572631667371</v>
      </c>
      <c r="AE607">
        <f t="shared" si="81"/>
        <v>1.2609341877634561</v>
      </c>
    </row>
    <row r="608" spans="1:31" x14ac:dyDescent="0.25">
      <c r="A608">
        <v>627.85</v>
      </c>
      <c r="B608">
        <v>9.2070000000000007</v>
      </c>
      <c r="C608">
        <v>77.326999999999998</v>
      </c>
      <c r="D608">
        <v>509.85700000000003</v>
      </c>
      <c r="E608">
        <v>344.89</v>
      </c>
      <c r="F608">
        <v>2.371</v>
      </c>
      <c r="G608">
        <v>75.364000000000004</v>
      </c>
      <c r="H608">
        <v>74.02</v>
      </c>
      <c r="I608">
        <v>5.0940000000000003</v>
      </c>
      <c r="J608">
        <v>7.3819999999999997</v>
      </c>
      <c r="K608">
        <v>52913.029000000002</v>
      </c>
      <c r="L608">
        <v>21.526</v>
      </c>
      <c r="N608">
        <v>283.76878499999992</v>
      </c>
      <c r="O608">
        <v>352.22938499999992</v>
      </c>
      <c r="P608">
        <v>898.89203599999996</v>
      </c>
      <c r="Q608">
        <v>709.50991999999985</v>
      </c>
      <c r="R608">
        <f t="shared" si="80"/>
        <v>1.6894522579365456</v>
      </c>
      <c r="S608">
        <v>1.634712783395031</v>
      </c>
      <c r="T608">
        <v>68.460599999999999</v>
      </c>
      <c r="U608">
        <v>189.38211600000011</v>
      </c>
      <c r="V608">
        <v>546.6626510000001</v>
      </c>
      <c r="W608">
        <v>0.22119951999427906</v>
      </c>
      <c r="AE608">
        <f t="shared" si="81"/>
        <v>1.2609341877634561</v>
      </c>
    </row>
    <row r="609" spans="1:31" x14ac:dyDescent="0.25">
      <c r="A609">
        <v>628.85</v>
      </c>
      <c r="B609">
        <v>9.1470000000000002</v>
      </c>
      <c r="C609">
        <v>77.069999999999993</v>
      </c>
      <c r="D609">
        <v>512.21100000000001</v>
      </c>
      <c r="E609">
        <v>344.14100000000002</v>
      </c>
      <c r="F609">
        <v>2.38</v>
      </c>
      <c r="G609">
        <v>75.5</v>
      </c>
      <c r="H609">
        <v>73.861000000000004</v>
      </c>
      <c r="I609">
        <v>4.9930000000000003</v>
      </c>
      <c r="J609">
        <v>7.04</v>
      </c>
      <c r="K609">
        <v>52873.87</v>
      </c>
      <c r="L609">
        <v>21.492999999999999</v>
      </c>
      <c r="N609">
        <v>283.70848499999994</v>
      </c>
      <c r="O609">
        <v>351.97109999999992</v>
      </c>
      <c r="P609">
        <v>901.59442799999988</v>
      </c>
      <c r="Q609">
        <v>708.65006799999992</v>
      </c>
      <c r="R609">
        <f t="shared" si="80"/>
        <v>1.690593124291651</v>
      </c>
      <c r="S609">
        <v>1.634769063441881</v>
      </c>
      <c r="T609">
        <v>68.262614999999983</v>
      </c>
      <c r="U609">
        <v>192.94435999999996</v>
      </c>
      <c r="V609">
        <v>549.6233279999999</v>
      </c>
      <c r="W609">
        <v>0.22684944151424374</v>
      </c>
      <c r="AE609">
        <f t="shared" si="81"/>
        <v>1.2609341877634561</v>
      </c>
    </row>
    <row r="610" spans="1:31" x14ac:dyDescent="0.25">
      <c r="A610">
        <v>629.85</v>
      </c>
      <c r="B610">
        <v>9.1739999999999995</v>
      </c>
      <c r="C610">
        <v>77.149000000000001</v>
      </c>
      <c r="D610">
        <v>515.67200000000003</v>
      </c>
      <c r="E610">
        <v>344.101</v>
      </c>
      <c r="F610">
        <v>2.347</v>
      </c>
      <c r="G610">
        <v>75.34</v>
      </c>
      <c r="H610">
        <v>73.677999999999997</v>
      </c>
      <c r="I610">
        <v>5.0179999999999998</v>
      </c>
      <c r="J610">
        <v>7.117</v>
      </c>
      <c r="K610">
        <v>52863.194000000003</v>
      </c>
      <c r="L610">
        <v>22.387</v>
      </c>
      <c r="N610">
        <v>283.73561999999993</v>
      </c>
      <c r="O610">
        <v>352.05049499999996</v>
      </c>
      <c r="P610">
        <v>905.56765599999994</v>
      </c>
      <c r="Q610">
        <v>708.6041479999999</v>
      </c>
      <c r="R610">
        <f t="shared" si="80"/>
        <v>1.6896085859778738</v>
      </c>
      <c r="S610">
        <v>1.6327060948414087</v>
      </c>
      <c r="T610">
        <v>68.314875000000029</v>
      </c>
      <c r="U610">
        <v>196.96350800000005</v>
      </c>
      <c r="V610">
        <v>553.51716099999999</v>
      </c>
      <c r="W610">
        <v>0.23242031514900044</v>
      </c>
      <c r="AE610">
        <f t="shared" si="81"/>
        <v>1.2609341877634561</v>
      </c>
    </row>
    <row r="611" spans="1:31" x14ac:dyDescent="0.25">
      <c r="A611">
        <v>630.85</v>
      </c>
      <c r="B611">
        <v>9.1890000000000001</v>
      </c>
      <c r="C611">
        <v>77.043999999999997</v>
      </c>
      <c r="D611">
        <v>514.077</v>
      </c>
      <c r="E611">
        <v>344.25599999999997</v>
      </c>
      <c r="F611">
        <v>2.367</v>
      </c>
      <c r="G611">
        <v>75.7</v>
      </c>
      <c r="H611">
        <v>74.173000000000002</v>
      </c>
      <c r="I611">
        <v>4.9909999999999997</v>
      </c>
      <c r="J611">
        <v>7.42</v>
      </c>
      <c r="K611">
        <v>52845.555999999997</v>
      </c>
      <c r="L611">
        <v>21.745999999999999</v>
      </c>
      <c r="N611">
        <v>283.75069499999995</v>
      </c>
      <c r="O611">
        <v>351.9449699999999</v>
      </c>
      <c r="P611">
        <v>903.73659599999985</v>
      </c>
      <c r="Q611">
        <v>708.78208799999993</v>
      </c>
      <c r="R611">
        <f t="shared" si="80"/>
        <v>1.6926898844776936</v>
      </c>
      <c r="S611">
        <v>1.6376750145173333</v>
      </c>
      <c r="T611">
        <v>68.194274999999948</v>
      </c>
      <c r="U611">
        <v>194.95450799999992</v>
      </c>
      <c r="V611">
        <v>551.79162599999995</v>
      </c>
      <c r="W611">
        <v>0.22972482188412185</v>
      </c>
      <c r="AE611">
        <f t="shared" si="81"/>
        <v>1.2609341877634561</v>
      </c>
    </row>
    <row r="612" spans="1:31" x14ac:dyDescent="0.25">
      <c r="A612">
        <v>631.85</v>
      </c>
      <c r="B612">
        <v>9.1929999999999996</v>
      </c>
      <c r="C612">
        <v>76.980999999999995</v>
      </c>
      <c r="D612">
        <v>515.06399999999996</v>
      </c>
      <c r="E612">
        <v>344.06599999999997</v>
      </c>
      <c r="F612">
        <v>2.3820000000000001</v>
      </c>
      <c r="G612">
        <v>76.040999999999997</v>
      </c>
      <c r="H612">
        <v>74.578999999999994</v>
      </c>
      <c r="I612">
        <v>5.0940000000000003</v>
      </c>
      <c r="J612">
        <v>7.4580000000000002</v>
      </c>
      <c r="K612">
        <v>52869.567000000003</v>
      </c>
      <c r="L612">
        <v>21.635999999999999</v>
      </c>
      <c r="N612">
        <v>283.75471499999992</v>
      </c>
      <c r="O612">
        <v>351.88165499999991</v>
      </c>
      <c r="P612">
        <v>904.86967199999981</v>
      </c>
      <c r="Q612">
        <v>708.56396799999982</v>
      </c>
      <c r="R612">
        <f t="shared" si="80"/>
        <v>1.6956706522355074</v>
      </c>
      <c r="S612">
        <v>1.6398603974436894</v>
      </c>
      <c r="T612">
        <v>68.126939999999991</v>
      </c>
      <c r="U612">
        <v>196.30570399999999</v>
      </c>
      <c r="V612">
        <v>552.9880169999999</v>
      </c>
      <c r="W612">
        <v>0.2317930227410335</v>
      </c>
      <c r="AE612">
        <f t="shared" si="81"/>
        <v>1.2609341877634561</v>
      </c>
    </row>
    <row r="613" spans="1:31" x14ac:dyDescent="0.25">
      <c r="A613">
        <v>632.85</v>
      </c>
      <c r="B613">
        <v>9.1999999999999993</v>
      </c>
      <c r="C613">
        <v>76.962999999999994</v>
      </c>
      <c r="D613">
        <v>514.59900000000005</v>
      </c>
      <c r="E613">
        <v>344.411</v>
      </c>
      <c r="F613">
        <v>2.3620000000000001</v>
      </c>
      <c r="G613">
        <v>75.933000000000007</v>
      </c>
      <c r="H613">
        <v>74.475999999999999</v>
      </c>
      <c r="I613">
        <v>5.0090000000000003</v>
      </c>
      <c r="J613">
        <v>7.61</v>
      </c>
      <c r="K613">
        <v>52907.464999999997</v>
      </c>
      <c r="L613">
        <v>21.827999999999999</v>
      </c>
      <c r="N613">
        <v>283.76174999999995</v>
      </c>
      <c r="O613">
        <v>351.86356499999988</v>
      </c>
      <c r="P613">
        <v>904.33585199999993</v>
      </c>
      <c r="Q613">
        <v>708.96002799999985</v>
      </c>
      <c r="R613">
        <f t="shared" si="80"/>
        <v>1.694970811055903</v>
      </c>
      <c r="S613">
        <v>1.6401957441318231</v>
      </c>
      <c r="T613">
        <v>68.101814999999931</v>
      </c>
      <c r="U613">
        <v>195.37582400000008</v>
      </c>
      <c r="V613">
        <v>552.47228700000005</v>
      </c>
      <c r="W613">
        <v>0.23037175256539183</v>
      </c>
      <c r="AE613">
        <f t="shared" si="81"/>
        <v>1.2609341877634561</v>
      </c>
    </row>
    <row r="614" spans="1:31" x14ac:dyDescent="0.25">
      <c r="A614">
        <v>633.85</v>
      </c>
      <c r="B614">
        <v>9.1389999999999993</v>
      </c>
      <c r="C614">
        <v>77.105000000000004</v>
      </c>
      <c r="D614">
        <v>512.66499999999996</v>
      </c>
      <c r="E614">
        <v>344.387</v>
      </c>
      <c r="F614">
        <v>2.3839999999999999</v>
      </c>
      <c r="G614">
        <v>76.260000000000005</v>
      </c>
      <c r="H614">
        <v>74.841999999999999</v>
      </c>
      <c r="I614">
        <v>5.0869999999999997</v>
      </c>
      <c r="J614">
        <v>6.5110000000000001</v>
      </c>
      <c r="K614">
        <v>52927.999000000003</v>
      </c>
      <c r="L614">
        <v>22.123999999999999</v>
      </c>
      <c r="N614">
        <v>283.70044499999995</v>
      </c>
      <c r="O614">
        <v>352.00627499999996</v>
      </c>
      <c r="P614">
        <v>902.11561999999981</v>
      </c>
      <c r="Q614">
        <v>708.93247599999995</v>
      </c>
      <c r="R614">
        <f t="shared" si="80"/>
        <v>1.6977069245589511</v>
      </c>
      <c r="S614">
        <v>1.6423881311759232</v>
      </c>
      <c r="T614">
        <v>68.305830000000014</v>
      </c>
      <c r="U614">
        <v>193.18314399999986</v>
      </c>
      <c r="V614">
        <v>550.10934499999985</v>
      </c>
      <c r="W614">
        <v>0.2270045312536908</v>
      </c>
      <c r="AE614">
        <f t="shared" si="81"/>
        <v>1.2609341877634561</v>
      </c>
    </row>
    <row r="615" spans="1:31" x14ac:dyDescent="0.25">
      <c r="A615">
        <v>634.85</v>
      </c>
      <c r="B615">
        <v>9.2200000000000006</v>
      </c>
      <c r="C615">
        <v>77.185000000000002</v>
      </c>
      <c r="D615">
        <v>510.47800000000001</v>
      </c>
      <c r="E615">
        <v>344.30700000000002</v>
      </c>
      <c r="F615">
        <v>2.3780000000000001</v>
      </c>
      <c r="G615">
        <v>76.506</v>
      </c>
      <c r="H615">
        <v>75.177000000000007</v>
      </c>
      <c r="I615">
        <v>5.0439999999999996</v>
      </c>
      <c r="J615">
        <v>7.0789999999999997</v>
      </c>
      <c r="K615">
        <v>52956.248</v>
      </c>
      <c r="L615">
        <v>21.658000000000001</v>
      </c>
      <c r="N615">
        <v>283.78184999999996</v>
      </c>
      <c r="O615">
        <v>352.08667499999996</v>
      </c>
      <c r="P615">
        <v>899.60494399999982</v>
      </c>
      <c r="Q615">
        <v>708.8406359999999</v>
      </c>
      <c r="R615">
        <f t="shared" si="80"/>
        <v>1.7001265607586089</v>
      </c>
      <c r="S615">
        <v>1.6461250737028303</v>
      </c>
      <c r="T615">
        <v>68.304824999999994</v>
      </c>
      <c r="U615">
        <v>190.76430799999991</v>
      </c>
      <c r="V615">
        <v>547.51826899999992</v>
      </c>
      <c r="W615">
        <v>0.22366282539514665</v>
      </c>
      <c r="AE615">
        <f t="shared" si="81"/>
        <v>1.2609341877634561</v>
      </c>
    </row>
    <row r="616" spans="1:31" x14ac:dyDescent="0.25">
      <c r="A616">
        <v>635.85</v>
      </c>
      <c r="B616">
        <v>9.2609999999999992</v>
      </c>
      <c r="C616">
        <v>77.367999999999995</v>
      </c>
      <c r="D616">
        <v>509.64699999999999</v>
      </c>
      <c r="E616">
        <v>344.363</v>
      </c>
      <c r="F616">
        <v>2.3889999999999998</v>
      </c>
      <c r="G616">
        <v>75.634</v>
      </c>
      <c r="H616">
        <v>74.36</v>
      </c>
      <c r="I616">
        <v>4.9029999999999996</v>
      </c>
      <c r="J616">
        <v>7.319</v>
      </c>
      <c r="K616">
        <v>53002.055999999997</v>
      </c>
      <c r="L616">
        <v>22.47</v>
      </c>
      <c r="N616">
        <v>283.82305499999995</v>
      </c>
      <c r="O616">
        <v>352.27058999999991</v>
      </c>
      <c r="P616">
        <v>898.65095599999995</v>
      </c>
      <c r="Q616">
        <v>708.90492399999982</v>
      </c>
      <c r="R616">
        <f t="shared" si="80"/>
        <v>1.6917149090084902</v>
      </c>
      <c r="S616">
        <v>1.6407295001060858</v>
      </c>
      <c r="T616">
        <v>68.447534999999959</v>
      </c>
      <c r="U616">
        <v>189.74603200000013</v>
      </c>
      <c r="V616">
        <v>546.38036600000009</v>
      </c>
      <c r="W616">
        <v>0.22200376248512588</v>
      </c>
      <c r="AE616">
        <f t="shared" si="81"/>
        <v>1.2609341877634561</v>
      </c>
    </row>
    <row r="617" spans="1:31" x14ac:dyDescent="0.25">
      <c r="A617">
        <v>636.85</v>
      </c>
      <c r="B617">
        <v>9.3149999999999995</v>
      </c>
      <c r="C617">
        <v>77.326999999999998</v>
      </c>
      <c r="D617">
        <v>508.30900000000003</v>
      </c>
      <c r="E617">
        <v>344.24599999999998</v>
      </c>
      <c r="F617">
        <v>2.379</v>
      </c>
      <c r="G617">
        <v>75.597999999999999</v>
      </c>
      <c r="H617">
        <v>74.103999999999999</v>
      </c>
      <c r="I617">
        <v>5.0810000000000004</v>
      </c>
      <c r="J617">
        <v>7.306</v>
      </c>
      <c r="K617">
        <v>52987.442000000003</v>
      </c>
      <c r="L617">
        <v>21.334</v>
      </c>
      <c r="N617">
        <v>283.87732499999993</v>
      </c>
      <c r="O617">
        <v>352.22938499999992</v>
      </c>
      <c r="P617">
        <v>897.11493199999995</v>
      </c>
      <c r="Q617">
        <v>708.77060799999992</v>
      </c>
      <c r="R617">
        <f t="shared" si="80"/>
        <v>1.691534676375863</v>
      </c>
      <c r="S617">
        <v>1.6356821174975362</v>
      </c>
      <c r="T617">
        <v>68.352059999999994</v>
      </c>
      <c r="U617">
        <v>188.34432400000003</v>
      </c>
      <c r="V617">
        <v>544.88554700000009</v>
      </c>
      <c r="W617">
        <v>0.22021553821834078</v>
      </c>
      <c r="AE617">
        <f t="shared" si="81"/>
        <v>1.2609341877634561</v>
      </c>
    </row>
    <row r="618" spans="1:31" x14ac:dyDescent="0.25">
      <c r="A618">
        <v>637.85</v>
      </c>
      <c r="B618">
        <v>9.2330000000000005</v>
      </c>
      <c r="C618">
        <v>77.293999999999997</v>
      </c>
      <c r="D618">
        <v>507.01799999999997</v>
      </c>
      <c r="E618">
        <v>344.24700000000001</v>
      </c>
      <c r="F618">
        <v>2.3639999999999999</v>
      </c>
      <c r="G618">
        <v>76.024000000000001</v>
      </c>
      <c r="H618">
        <v>74.507000000000005</v>
      </c>
      <c r="I618">
        <v>5.0129999999999999</v>
      </c>
      <c r="J618">
        <v>7.8360000000000003</v>
      </c>
      <c r="K618">
        <v>52914.283000000003</v>
      </c>
      <c r="L618">
        <v>21.481999999999999</v>
      </c>
      <c r="N618">
        <v>283.79491499999995</v>
      </c>
      <c r="O618">
        <v>352.19621999999993</v>
      </c>
      <c r="P618">
        <v>895.63286399999981</v>
      </c>
      <c r="Q618">
        <v>708.77175599999987</v>
      </c>
      <c r="R618">
        <f t="shared" si="80"/>
        <v>1.6957983828308016</v>
      </c>
      <c r="S618">
        <v>1.6404209633868754</v>
      </c>
      <c r="T618">
        <v>68.401304999999979</v>
      </c>
      <c r="U618">
        <v>186.86110799999994</v>
      </c>
      <c r="V618">
        <v>543.43664399999989</v>
      </c>
      <c r="W618">
        <v>0.21798272955623507</v>
      </c>
      <c r="AE618">
        <f t="shared" si="81"/>
        <v>1.2609341877634561</v>
      </c>
    </row>
    <row r="619" spans="1:31" x14ac:dyDescent="0.25">
      <c r="A619">
        <v>638.85</v>
      </c>
      <c r="B619">
        <v>9.3450000000000006</v>
      </c>
      <c r="C619">
        <v>77.376000000000005</v>
      </c>
      <c r="D619">
        <v>507.62799999999999</v>
      </c>
      <c r="E619">
        <v>344.51799999999997</v>
      </c>
      <c r="F619">
        <v>2.375</v>
      </c>
      <c r="G619">
        <v>75.626999999999995</v>
      </c>
      <c r="H619">
        <v>74.126000000000005</v>
      </c>
      <c r="I619">
        <v>4.9580000000000002</v>
      </c>
      <c r="J619">
        <v>6.7380000000000004</v>
      </c>
      <c r="K619">
        <v>52884.618000000002</v>
      </c>
      <c r="L619">
        <v>21.998000000000001</v>
      </c>
      <c r="N619">
        <v>283.90747499999998</v>
      </c>
      <c r="O619">
        <v>352.27862999999991</v>
      </c>
      <c r="P619">
        <v>896.33314399999995</v>
      </c>
      <c r="Q619">
        <v>709.08286399999986</v>
      </c>
      <c r="R619">
        <f t="shared" si="80"/>
        <v>1.6918724911452185</v>
      </c>
      <c r="S619">
        <v>1.6377399546368181</v>
      </c>
      <c r="T619">
        <v>68.371154999999931</v>
      </c>
      <c r="U619">
        <v>187.25028000000009</v>
      </c>
      <c r="V619">
        <v>544.05451400000004</v>
      </c>
      <c r="W619">
        <v>0.21850590692829019</v>
      </c>
      <c r="AE619">
        <f t="shared" si="81"/>
        <v>1.2609341877634561</v>
      </c>
    </row>
    <row r="620" spans="1:31" x14ac:dyDescent="0.25">
      <c r="A620">
        <v>639.85</v>
      </c>
      <c r="B620">
        <v>9.2910000000000004</v>
      </c>
      <c r="C620">
        <v>77.323999999999998</v>
      </c>
      <c r="D620">
        <v>506.56</v>
      </c>
      <c r="E620">
        <v>344.39800000000002</v>
      </c>
      <c r="F620">
        <v>2.3530000000000002</v>
      </c>
      <c r="G620">
        <v>75.334999999999994</v>
      </c>
      <c r="H620">
        <v>73.843000000000004</v>
      </c>
      <c r="I620">
        <v>4.9489999999999998</v>
      </c>
      <c r="J620">
        <v>6.9660000000000002</v>
      </c>
      <c r="K620">
        <v>52853.877</v>
      </c>
      <c r="L620">
        <v>20.978000000000002</v>
      </c>
      <c r="N620">
        <v>283.85320499999995</v>
      </c>
      <c r="O620">
        <v>352.22636999999997</v>
      </c>
      <c r="P620">
        <v>895.10708</v>
      </c>
      <c r="Q620">
        <v>708.9451039999999</v>
      </c>
      <c r="R620">
        <f t="shared" si="80"/>
        <v>1.6894655796245737</v>
      </c>
      <c r="S620">
        <v>1.6352663463932358</v>
      </c>
      <c r="T620">
        <v>68.373165000000029</v>
      </c>
      <c r="U620">
        <v>186.1619760000001</v>
      </c>
      <c r="V620">
        <v>542.88071000000002</v>
      </c>
      <c r="W620">
        <v>0.2169699693326736</v>
      </c>
      <c r="AE620">
        <f t="shared" si="81"/>
        <v>1.2609341877634561</v>
      </c>
    </row>
    <row r="621" spans="1:31" x14ac:dyDescent="0.25">
      <c r="A621">
        <v>640.85</v>
      </c>
      <c r="B621">
        <v>9.2059999999999995</v>
      </c>
      <c r="C621">
        <v>77.31</v>
      </c>
      <c r="D621">
        <v>506.55</v>
      </c>
      <c r="E621">
        <v>344.19900000000001</v>
      </c>
      <c r="F621">
        <v>2.335</v>
      </c>
      <c r="G621">
        <v>74.268000000000001</v>
      </c>
      <c r="H621">
        <v>73.117999999999995</v>
      </c>
      <c r="I621">
        <v>4.9119999999999999</v>
      </c>
      <c r="J621">
        <v>7.1550000000000002</v>
      </c>
      <c r="K621">
        <v>52827.794999999998</v>
      </c>
      <c r="L621">
        <v>21.975999999999999</v>
      </c>
      <c r="N621">
        <v>283.76777999999996</v>
      </c>
      <c r="O621">
        <v>352.21229999999991</v>
      </c>
      <c r="P621">
        <v>895.09559999999999</v>
      </c>
      <c r="Q621">
        <v>708.71665199999984</v>
      </c>
      <c r="R621">
        <f t="shared" si="80"/>
        <v>1.6796711862805311</v>
      </c>
      <c r="S621">
        <v>1.6291369959045123</v>
      </c>
      <c r="T621">
        <v>68.444519999999955</v>
      </c>
      <c r="U621">
        <v>186.37894800000015</v>
      </c>
      <c r="V621">
        <v>542.88330000000008</v>
      </c>
      <c r="W621">
        <v>0.21723716312511396</v>
      </c>
      <c r="AE621">
        <f t="shared" si="81"/>
        <v>1.2609341877634561</v>
      </c>
    </row>
    <row r="622" spans="1:31" x14ac:dyDescent="0.25">
      <c r="A622">
        <v>641.85</v>
      </c>
      <c r="B622">
        <v>9.1920000000000002</v>
      </c>
      <c r="C622">
        <v>77.353999999999999</v>
      </c>
      <c r="D622">
        <v>507.863</v>
      </c>
      <c r="E622">
        <v>344.2</v>
      </c>
      <c r="F622">
        <v>2.3490000000000002</v>
      </c>
      <c r="G622">
        <v>75.391999999999996</v>
      </c>
      <c r="H622">
        <v>73.906000000000006</v>
      </c>
      <c r="I622">
        <v>4.9409999999999998</v>
      </c>
      <c r="J622">
        <v>7.8319999999999999</v>
      </c>
      <c r="K622">
        <v>52789.921999999999</v>
      </c>
      <c r="L622">
        <v>21.619</v>
      </c>
      <c r="N622">
        <v>283.75370999999996</v>
      </c>
      <c r="O622">
        <v>352.25651999999991</v>
      </c>
      <c r="P622">
        <v>896.6029239999998</v>
      </c>
      <c r="Q622">
        <v>708.71779999999978</v>
      </c>
      <c r="R622">
        <f t="shared" si="80"/>
        <v>1.6900679269525456</v>
      </c>
      <c r="S622">
        <v>1.6359679457031935</v>
      </c>
      <c r="T622">
        <v>68.502809999999954</v>
      </c>
      <c r="U622">
        <v>187.88512400000002</v>
      </c>
      <c r="V622">
        <v>544.34640399999989</v>
      </c>
      <c r="W622">
        <v>0.21931313061452701</v>
      </c>
      <c r="AE622">
        <f t="shared" si="81"/>
        <v>1.2609341877634561</v>
      </c>
    </row>
    <row r="623" spans="1:31" x14ac:dyDescent="0.25">
      <c r="A623">
        <v>642.85</v>
      </c>
      <c r="B623">
        <v>9.0749999999999993</v>
      </c>
      <c r="C623">
        <v>77.427999999999997</v>
      </c>
      <c r="D623">
        <v>508.779</v>
      </c>
      <c r="E623">
        <v>344.99099999999999</v>
      </c>
      <c r="F623">
        <v>2.3460000000000001</v>
      </c>
      <c r="G623">
        <v>75.733999999999995</v>
      </c>
      <c r="H623">
        <v>74.290999999999997</v>
      </c>
      <c r="I623">
        <v>5.0670000000000002</v>
      </c>
      <c r="J623">
        <v>7.44</v>
      </c>
      <c r="K623">
        <v>52810.521000000001</v>
      </c>
      <c r="L623">
        <v>21.532</v>
      </c>
      <c r="N623">
        <v>283.63612499999994</v>
      </c>
      <c r="O623">
        <v>352.33088999999995</v>
      </c>
      <c r="P623">
        <v>897.65449199999989</v>
      </c>
      <c r="Q623">
        <v>709.62586799999985</v>
      </c>
      <c r="R623">
        <f t="shared" si="80"/>
        <v>1.6933469380042701</v>
      </c>
      <c r="S623">
        <v>1.6376154816841211</v>
      </c>
      <c r="T623">
        <v>68.694765000000018</v>
      </c>
      <c r="U623">
        <v>188.02862400000004</v>
      </c>
      <c r="V623">
        <v>545.32360199999994</v>
      </c>
      <c r="W623">
        <v>0.21883127479232053</v>
      </c>
      <c r="AE623">
        <f t="shared" si="81"/>
        <v>1.2609341877634561</v>
      </c>
    </row>
    <row r="624" spans="1:31" x14ac:dyDescent="0.25">
      <c r="A624">
        <v>643.85</v>
      </c>
      <c r="B624">
        <v>9.0449999999999999</v>
      </c>
      <c r="C624">
        <v>77.447000000000003</v>
      </c>
      <c r="D624">
        <v>508.86599999999999</v>
      </c>
      <c r="E624">
        <v>344.733</v>
      </c>
      <c r="F624">
        <v>2.371</v>
      </c>
      <c r="G624">
        <v>75.766000000000005</v>
      </c>
      <c r="H624">
        <v>74.253</v>
      </c>
      <c r="I624">
        <v>4.8419999999999996</v>
      </c>
      <c r="J624">
        <v>7.23</v>
      </c>
      <c r="K624">
        <v>52845.546999999999</v>
      </c>
      <c r="L624">
        <v>21.85</v>
      </c>
      <c r="N624">
        <v>283.60597499999994</v>
      </c>
      <c r="O624">
        <v>352.34998499999995</v>
      </c>
      <c r="P624">
        <v>897.75436799999989</v>
      </c>
      <c r="Q624">
        <v>709.32968400000004</v>
      </c>
      <c r="R624">
        <f t="shared" si="80"/>
        <v>1.6932493317339028</v>
      </c>
      <c r="S624">
        <v>1.6406656698233371</v>
      </c>
      <c r="T624">
        <v>68.744010000000003</v>
      </c>
      <c r="U624">
        <v>188.42468399999984</v>
      </c>
      <c r="V624">
        <v>545.40438299999994</v>
      </c>
      <c r="W624">
        <v>0.21943474920699318</v>
      </c>
      <c r="AE624">
        <f t="shared" si="81"/>
        <v>1.2609341877634561</v>
      </c>
    </row>
    <row r="625" spans="1:31" x14ac:dyDescent="0.25">
      <c r="A625">
        <v>644.85</v>
      </c>
      <c r="B625">
        <v>9.032</v>
      </c>
      <c r="C625">
        <v>77.296000000000006</v>
      </c>
      <c r="D625">
        <v>511.32900000000001</v>
      </c>
      <c r="E625">
        <v>344.68700000000001</v>
      </c>
      <c r="F625">
        <v>2.3570000000000002</v>
      </c>
      <c r="G625">
        <v>75.563999999999993</v>
      </c>
      <c r="H625">
        <v>74.073999999999998</v>
      </c>
      <c r="I625">
        <v>5.0190000000000001</v>
      </c>
      <c r="J625">
        <v>7.08</v>
      </c>
      <c r="K625">
        <v>52859.724999999999</v>
      </c>
      <c r="L625">
        <v>20.863</v>
      </c>
      <c r="N625">
        <v>283.5929099999999</v>
      </c>
      <c r="O625">
        <v>352.19822999999991</v>
      </c>
      <c r="P625">
        <v>900.58189199999993</v>
      </c>
      <c r="Q625">
        <v>709.2768759999999</v>
      </c>
      <c r="R625">
        <f t="shared" si="80"/>
        <v>1.6915650358502508</v>
      </c>
      <c r="S625">
        <v>1.6363401800606345</v>
      </c>
      <c r="T625">
        <v>68.605320000000006</v>
      </c>
      <c r="U625">
        <v>191.30501600000002</v>
      </c>
      <c r="V625">
        <v>548.38366199999996</v>
      </c>
      <c r="W625">
        <v>0.22374790589585439</v>
      </c>
      <c r="AE625">
        <f t="shared" si="81"/>
        <v>1.2609341877634561</v>
      </c>
    </row>
    <row r="626" spans="1:31" x14ac:dyDescent="0.25">
      <c r="A626">
        <v>645.85</v>
      </c>
      <c r="B626">
        <v>9.1549999999999994</v>
      </c>
      <c r="C626">
        <v>77.263999999999996</v>
      </c>
      <c r="D626">
        <v>510.90499999999997</v>
      </c>
      <c r="E626">
        <v>344.62900000000002</v>
      </c>
      <c r="F626">
        <v>2.3450000000000002</v>
      </c>
      <c r="G626">
        <v>75.17</v>
      </c>
      <c r="H626">
        <v>73.837000000000003</v>
      </c>
      <c r="I626">
        <v>5.0289999999999999</v>
      </c>
      <c r="J626">
        <v>7.9509999999999996</v>
      </c>
      <c r="K626">
        <v>52850.084000000003</v>
      </c>
      <c r="L626">
        <v>21.526</v>
      </c>
      <c r="N626">
        <v>283.71652499999993</v>
      </c>
      <c r="O626">
        <v>352.16606999999993</v>
      </c>
      <c r="P626">
        <v>900.0951399999999</v>
      </c>
      <c r="Q626">
        <v>709.21029199999998</v>
      </c>
      <c r="R626">
        <f t="shared" si="80"/>
        <v>1.6880343899097738</v>
      </c>
      <c r="S626">
        <v>1.6340056574740391</v>
      </c>
      <c r="T626">
        <v>68.449545000000001</v>
      </c>
      <c r="U626">
        <v>190.88484799999992</v>
      </c>
      <c r="V626">
        <v>547.92906999999991</v>
      </c>
      <c r="W626">
        <v>0.22345100799269499</v>
      </c>
      <c r="AE626">
        <f t="shared" si="81"/>
        <v>1.2609341877634561</v>
      </c>
    </row>
    <row r="627" spans="1:31" x14ac:dyDescent="0.25">
      <c r="A627">
        <v>646.85</v>
      </c>
      <c r="B627">
        <v>9.2550000000000008</v>
      </c>
      <c r="C627">
        <v>77.218000000000004</v>
      </c>
      <c r="D627">
        <v>511.03300000000002</v>
      </c>
      <c r="E627">
        <v>344.89499999999998</v>
      </c>
      <c r="F627">
        <v>2.343</v>
      </c>
      <c r="G627">
        <v>75.096999999999994</v>
      </c>
      <c r="H627">
        <v>73.756</v>
      </c>
      <c r="I627">
        <v>4.9820000000000002</v>
      </c>
      <c r="J627">
        <v>7.61</v>
      </c>
      <c r="K627">
        <v>52824.972999999998</v>
      </c>
      <c r="L627">
        <v>21.757000000000001</v>
      </c>
      <c r="N627">
        <v>283.81702499999994</v>
      </c>
      <c r="O627">
        <v>352.11983999999995</v>
      </c>
      <c r="P627">
        <v>900.24208399999998</v>
      </c>
      <c r="Q627">
        <v>709.51565999999991</v>
      </c>
      <c r="R627">
        <f t="shared" si="80"/>
        <v>1.6873765860756023</v>
      </c>
      <c r="S627">
        <v>1.6339669253885438</v>
      </c>
      <c r="T627">
        <v>68.30281500000001</v>
      </c>
      <c r="U627">
        <v>190.72642400000007</v>
      </c>
      <c r="V627">
        <v>548.12224400000002</v>
      </c>
      <c r="W627">
        <v>0.22335092279159546</v>
      </c>
      <c r="AE627">
        <f t="shared" si="81"/>
        <v>1.2609341877634561</v>
      </c>
    </row>
    <row r="628" spans="1:31" x14ac:dyDescent="0.25">
      <c r="A628">
        <v>647.85</v>
      </c>
      <c r="B628">
        <v>9.42</v>
      </c>
      <c r="C628">
        <v>76.992000000000004</v>
      </c>
      <c r="D628">
        <v>513.43600000000004</v>
      </c>
      <c r="E628">
        <v>344.97800000000001</v>
      </c>
      <c r="F628">
        <v>2.3239999999999998</v>
      </c>
      <c r="G628">
        <v>74.861999999999995</v>
      </c>
      <c r="H628">
        <v>73.510999999999996</v>
      </c>
      <c r="I628">
        <v>4.9489999999999998</v>
      </c>
      <c r="J628">
        <v>7.1550000000000002</v>
      </c>
      <c r="K628">
        <v>52812.146000000001</v>
      </c>
      <c r="L628">
        <v>20.928000000000001</v>
      </c>
      <c r="N628">
        <v>283.98284999999998</v>
      </c>
      <c r="O628">
        <v>351.89270999999997</v>
      </c>
      <c r="P628">
        <v>903.00072799999998</v>
      </c>
      <c r="Q628">
        <v>709.6109439999999</v>
      </c>
      <c r="R628">
        <f t="shared" si="80"/>
        <v>1.6854588751133959</v>
      </c>
      <c r="S628">
        <v>1.6322049995850585</v>
      </c>
      <c r="T628">
        <v>67.909859999999981</v>
      </c>
      <c r="U628">
        <v>193.38978400000008</v>
      </c>
      <c r="V628">
        <v>551.10801800000002</v>
      </c>
      <c r="W628">
        <v>0.22768662385891852</v>
      </c>
      <c r="AE628">
        <f t="shared" si="81"/>
        <v>1.2609341877634561</v>
      </c>
    </row>
    <row r="629" spans="1:31" x14ac:dyDescent="0.25">
      <c r="A629">
        <v>648.85</v>
      </c>
      <c r="B629">
        <v>9.5340000000000007</v>
      </c>
      <c r="C629">
        <v>76.984999999999999</v>
      </c>
      <c r="D629">
        <v>515.13300000000004</v>
      </c>
      <c r="E629">
        <v>344.50900000000001</v>
      </c>
      <c r="F629">
        <v>2.3340000000000001</v>
      </c>
      <c r="G629">
        <v>74.944999999999993</v>
      </c>
      <c r="H629">
        <v>73.510999999999996</v>
      </c>
      <c r="I629">
        <v>5.077</v>
      </c>
      <c r="J629">
        <v>7.1950000000000003</v>
      </c>
      <c r="K629">
        <v>52788.959999999999</v>
      </c>
      <c r="L629">
        <v>21.175000000000001</v>
      </c>
      <c r="N629">
        <v>284.09741999999994</v>
      </c>
      <c r="O629">
        <v>351.88567499999994</v>
      </c>
      <c r="P629">
        <v>904.94888399999991</v>
      </c>
      <c r="Q629">
        <v>709.07253199999991</v>
      </c>
      <c r="R629">
        <f t="shared" si="80"/>
        <v>1.6860838671882381</v>
      </c>
      <c r="S629">
        <v>1.6302808145371488</v>
      </c>
      <c r="T629">
        <v>67.788254999999992</v>
      </c>
      <c r="U629">
        <v>195.876352</v>
      </c>
      <c r="V629">
        <v>553.06320899999992</v>
      </c>
      <c r="W629">
        <v>0.23159757314466387</v>
      </c>
      <c r="AE629">
        <f t="shared" si="81"/>
        <v>1.2609341877634561</v>
      </c>
    </row>
    <row r="630" spans="1:31" x14ac:dyDescent="0.25">
      <c r="A630">
        <v>649.85</v>
      </c>
      <c r="B630">
        <v>9.5690000000000008</v>
      </c>
      <c r="C630">
        <v>76.906999999999996</v>
      </c>
      <c r="D630">
        <v>512.01300000000003</v>
      </c>
      <c r="E630">
        <v>344.31799999999998</v>
      </c>
      <c r="F630">
        <v>2.3580000000000001</v>
      </c>
      <c r="G630">
        <v>75.367000000000004</v>
      </c>
      <c r="H630">
        <v>73.975999999999999</v>
      </c>
      <c r="I630">
        <v>5.0490000000000004</v>
      </c>
      <c r="J630">
        <v>7.2889999999999997</v>
      </c>
      <c r="K630">
        <v>52760.338000000003</v>
      </c>
      <c r="L630">
        <v>21.192</v>
      </c>
      <c r="N630">
        <v>284.13259499999998</v>
      </c>
      <c r="O630">
        <v>351.80728499999992</v>
      </c>
      <c r="P630">
        <v>901.36712399999999</v>
      </c>
      <c r="Q630">
        <v>708.85326399999985</v>
      </c>
      <c r="R630">
        <f t="shared" si="80"/>
        <v>1.6896880727011658</v>
      </c>
      <c r="S630">
        <v>1.634985121926503</v>
      </c>
      <c r="T630">
        <v>67.674689999999941</v>
      </c>
      <c r="U630">
        <v>192.51386000000014</v>
      </c>
      <c r="V630">
        <v>549.55983900000001</v>
      </c>
      <c r="W630">
        <v>0.22716210527167033</v>
      </c>
      <c r="AE630">
        <f t="shared" si="81"/>
        <v>1.2609341877634561</v>
      </c>
    </row>
    <row r="631" spans="1:31" x14ac:dyDescent="0.25">
      <c r="A631">
        <v>650.85</v>
      </c>
      <c r="B631">
        <v>9.4269999999999996</v>
      </c>
      <c r="C631">
        <v>76.924000000000007</v>
      </c>
      <c r="D631">
        <v>509.44299999999998</v>
      </c>
      <c r="E631">
        <v>344.50599999999997</v>
      </c>
      <c r="F631">
        <v>2.3479999999999999</v>
      </c>
      <c r="G631">
        <v>75.132000000000005</v>
      </c>
      <c r="H631">
        <v>73.897000000000006</v>
      </c>
      <c r="I631">
        <v>4.8959999999999999</v>
      </c>
      <c r="J631">
        <v>8.2149999999999999</v>
      </c>
      <c r="K631">
        <v>52759.811999999998</v>
      </c>
      <c r="L631">
        <v>21.937999999999999</v>
      </c>
      <c r="N631">
        <v>283.98988499999996</v>
      </c>
      <c r="O631">
        <v>351.82436999999993</v>
      </c>
      <c r="P631">
        <v>898.41676399999983</v>
      </c>
      <c r="Q631">
        <v>709.06908799999985</v>
      </c>
      <c r="R631">
        <f t="shared" si="80"/>
        <v>1.6876275413800923</v>
      </c>
      <c r="S631">
        <v>1.6365640798553451</v>
      </c>
      <c r="T631">
        <v>67.834484999999972</v>
      </c>
      <c r="U631">
        <v>189.34767599999998</v>
      </c>
      <c r="V631">
        <v>546.5923939999999</v>
      </c>
      <c r="W631">
        <v>0.22231043156447586</v>
      </c>
      <c r="AE631">
        <f t="shared" si="81"/>
        <v>1.2609341877634561</v>
      </c>
    </row>
    <row r="632" spans="1:31" x14ac:dyDescent="0.25">
      <c r="A632">
        <v>651.85</v>
      </c>
      <c r="B632">
        <v>9.3729999999999993</v>
      </c>
      <c r="C632">
        <v>76.875</v>
      </c>
      <c r="D632">
        <v>508.84399999999999</v>
      </c>
      <c r="E632">
        <v>344.61599999999999</v>
      </c>
      <c r="F632">
        <v>2.3540000000000001</v>
      </c>
      <c r="G632">
        <v>75.340999999999994</v>
      </c>
      <c r="H632">
        <v>73.98</v>
      </c>
      <c r="I632">
        <v>5.09</v>
      </c>
      <c r="J632">
        <v>7.42</v>
      </c>
      <c r="K632">
        <v>52761.446000000004</v>
      </c>
      <c r="L632">
        <v>22.074999999999999</v>
      </c>
      <c r="N632">
        <v>283.93561499999993</v>
      </c>
      <c r="O632">
        <v>351.77512499999995</v>
      </c>
      <c r="P632">
        <v>897.72911199999987</v>
      </c>
      <c r="Q632">
        <v>709.19536799999992</v>
      </c>
      <c r="R632">
        <f t="shared" si="80"/>
        <v>1.6895063011317475</v>
      </c>
      <c r="S632">
        <v>1.6344046413113547</v>
      </c>
      <c r="T632">
        <v>67.839510000000018</v>
      </c>
      <c r="U632">
        <v>188.53374399999996</v>
      </c>
      <c r="V632">
        <v>545.95398699999987</v>
      </c>
      <c r="W632">
        <v>0.22107034086006219</v>
      </c>
      <c r="AE632">
        <f t="shared" si="81"/>
        <v>1.2609341877634561</v>
      </c>
    </row>
    <row r="633" spans="1:31" x14ac:dyDescent="0.25">
      <c r="A633">
        <v>652.85</v>
      </c>
      <c r="B633">
        <v>9.1489999999999991</v>
      </c>
      <c r="C633">
        <v>76.855999999999995</v>
      </c>
      <c r="D633">
        <v>511.07600000000002</v>
      </c>
      <c r="E633">
        <v>344.45600000000002</v>
      </c>
      <c r="F633">
        <v>2.359</v>
      </c>
      <c r="G633">
        <v>75.384</v>
      </c>
      <c r="H633">
        <v>73.876000000000005</v>
      </c>
      <c r="I633">
        <v>4.9969999999999999</v>
      </c>
      <c r="J633">
        <v>7.61</v>
      </c>
      <c r="K633">
        <v>52769.411999999997</v>
      </c>
      <c r="L633">
        <v>21.021999999999998</v>
      </c>
      <c r="N633">
        <v>283.71049499999992</v>
      </c>
      <c r="O633">
        <v>351.75602999999995</v>
      </c>
      <c r="P633">
        <v>900.29144799999995</v>
      </c>
      <c r="Q633">
        <v>709.01168799999994</v>
      </c>
      <c r="R633">
        <f t="shared" si="80"/>
        <v>1.6898327019903836</v>
      </c>
      <c r="S633">
        <v>1.6348470464621141</v>
      </c>
      <c r="T633">
        <v>68.045535000000029</v>
      </c>
      <c r="U633">
        <v>191.27976000000001</v>
      </c>
      <c r="V633">
        <v>548.53541799999994</v>
      </c>
      <c r="W633">
        <v>0.22466047032900982</v>
      </c>
      <c r="AE633">
        <f t="shared" si="81"/>
        <v>1.2609341877634561</v>
      </c>
    </row>
    <row r="634" spans="1:31" x14ac:dyDescent="0.25">
      <c r="A634">
        <v>653.85</v>
      </c>
      <c r="B634">
        <v>9.0559999999999992</v>
      </c>
      <c r="C634">
        <v>76.789000000000001</v>
      </c>
      <c r="D634">
        <v>508.88900000000001</v>
      </c>
      <c r="E634">
        <v>344.154</v>
      </c>
      <c r="F634">
        <v>2.3639999999999999</v>
      </c>
      <c r="G634">
        <v>75.332999999999998</v>
      </c>
      <c r="H634">
        <v>74.028000000000006</v>
      </c>
      <c r="I634">
        <v>4.9560000000000004</v>
      </c>
      <c r="J634">
        <v>7.95</v>
      </c>
      <c r="K634">
        <v>52770.18</v>
      </c>
      <c r="L634">
        <v>21.279</v>
      </c>
      <c r="N634">
        <v>283.61702999999994</v>
      </c>
      <c r="O634">
        <v>351.68869499999994</v>
      </c>
      <c r="P634">
        <v>897.78077199999996</v>
      </c>
      <c r="Q634">
        <v>708.66499199999987</v>
      </c>
      <c r="R634">
        <f t="shared" si="80"/>
        <v>1.6892711403309906</v>
      </c>
      <c r="S634">
        <v>1.6368665633989823</v>
      </c>
      <c r="T634">
        <v>68.071664999999996</v>
      </c>
      <c r="U634">
        <v>189.11578000000009</v>
      </c>
      <c r="V634">
        <v>546.09207700000002</v>
      </c>
      <c r="W634">
        <v>0.22165513857107302</v>
      </c>
      <c r="AE634">
        <f t="shared" si="81"/>
        <v>1.2609341877634561</v>
      </c>
    </row>
    <row r="635" spans="1:31" x14ac:dyDescent="0.25">
      <c r="A635">
        <v>654.85</v>
      </c>
      <c r="B635">
        <v>9.0329999999999995</v>
      </c>
      <c r="C635">
        <v>76.944000000000003</v>
      </c>
      <c r="D635">
        <v>508.34899999999999</v>
      </c>
      <c r="E635">
        <v>344.13799999999998</v>
      </c>
      <c r="F635">
        <v>2.3370000000000002</v>
      </c>
      <c r="G635">
        <v>75.537999999999997</v>
      </c>
      <c r="H635">
        <v>73.915999999999997</v>
      </c>
      <c r="I635">
        <v>4.9260000000000002</v>
      </c>
      <c r="J635">
        <v>7.4580000000000002</v>
      </c>
      <c r="K635">
        <v>52777.427000000003</v>
      </c>
      <c r="L635">
        <v>21.395</v>
      </c>
      <c r="N635">
        <v>283.59391499999998</v>
      </c>
      <c r="O635">
        <v>351.84446999999994</v>
      </c>
      <c r="P635">
        <v>897.16085199999998</v>
      </c>
      <c r="Q635">
        <v>708.64662399999997</v>
      </c>
      <c r="R635">
        <f t="shared" si="80"/>
        <v>1.6916390298288879</v>
      </c>
      <c r="S635">
        <v>1.6362864995480788</v>
      </c>
      <c r="T635">
        <v>68.250554999999963</v>
      </c>
      <c r="U635">
        <v>188.514228</v>
      </c>
      <c r="V635">
        <v>545.31638199999998</v>
      </c>
      <c r="W635">
        <v>0.22053926302181043</v>
      </c>
      <c r="AE635">
        <f t="shared" si="81"/>
        <v>1.2609341877634561</v>
      </c>
    </row>
    <row r="636" spans="1:31" x14ac:dyDescent="0.25">
      <c r="A636">
        <v>655.85</v>
      </c>
      <c r="B636">
        <v>8.9719999999999995</v>
      </c>
      <c r="C636">
        <v>76.997</v>
      </c>
      <c r="D636">
        <v>508.649</v>
      </c>
      <c r="E636">
        <v>344.60300000000001</v>
      </c>
      <c r="F636">
        <v>2.3690000000000002</v>
      </c>
      <c r="G636">
        <v>75.786000000000001</v>
      </c>
      <c r="H636">
        <v>74.275000000000006</v>
      </c>
      <c r="I636">
        <v>5.0940000000000003</v>
      </c>
      <c r="J636">
        <v>7.694</v>
      </c>
      <c r="K636">
        <v>52779.845000000001</v>
      </c>
      <c r="L636">
        <v>21.285</v>
      </c>
      <c r="N636">
        <v>283.53260999999992</v>
      </c>
      <c r="O636">
        <v>351.89773499999995</v>
      </c>
      <c r="P636">
        <v>897.50525199999993</v>
      </c>
      <c r="Q636">
        <v>709.18044399999985</v>
      </c>
      <c r="R636">
        <f t="shared" si="80"/>
        <v>1.6934702320792678</v>
      </c>
      <c r="S636">
        <v>1.6370609794279611</v>
      </c>
      <c r="T636">
        <v>68.365125000000035</v>
      </c>
      <c r="U636">
        <v>188.32480800000008</v>
      </c>
      <c r="V636">
        <v>545.60751699999992</v>
      </c>
      <c r="W636">
        <v>0.21986442499838224</v>
      </c>
      <c r="AE636">
        <f t="shared" si="81"/>
        <v>1.2609341877634561</v>
      </c>
    </row>
    <row r="637" spans="1:31" x14ac:dyDescent="0.25">
      <c r="A637">
        <v>656.85</v>
      </c>
      <c r="B637">
        <v>8.9190000000000005</v>
      </c>
      <c r="C637">
        <v>76.97</v>
      </c>
      <c r="D637">
        <v>507.89800000000002</v>
      </c>
      <c r="E637">
        <v>344.65</v>
      </c>
      <c r="F637">
        <v>2.371</v>
      </c>
      <c r="G637">
        <v>75.474999999999994</v>
      </c>
      <c r="H637">
        <v>74.106999999999999</v>
      </c>
      <c r="I637">
        <v>5.0759999999999996</v>
      </c>
      <c r="J637">
        <v>7.6189999999999998</v>
      </c>
      <c r="K637">
        <v>52800.661999999997</v>
      </c>
      <c r="L637">
        <v>21.783999999999999</v>
      </c>
      <c r="N637">
        <v>283.47934499999991</v>
      </c>
      <c r="O637">
        <v>351.87059999999997</v>
      </c>
      <c r="P637">
        <v>896.64310399999988</v>
      </c>
      <c r="Q637">
        <v>709.23439999999994</v>
      </c>
      <c r="R637">
        <f t="shared" si="80"/>
        <v>1.690500703686562</v>
      </c>
      <c r="S637">
        <v>1.635785072207486</v>
      </c>
      <c r="T637">
        <v>68.391255000000058</v>
      </c>
      <c r="U637">
        <v>187.40870399999994</v>
      </c>
      <c r="V637">
        <v>544.77250399999991</v>
      </c>
      <c r="W637">
        <v>0.21847183572245765</v>
      </c>
      <c r="AE637">
        <f t="shared" si="81"/>
        <v>1.2609341877634561</v>
      </c>
    </row>
    <row r="638" spans="1:31" x14ac:dyDescent="0.25">
      <c r="A638">
        <v>657.85</v>
      </c>
      <c r="B638">
        <v>8.8190000000000008</v>
      </c>
      <c r="C638">
        <v>76.956999999999994</v>
      </c>
      <c r="D638">
        <v>505.56</v>
      </c>
      <c r="E638">
        <v>344.46800000000002</v>
      </c>
      <c r="F638">
        <v>2.3559999999999999</v>
      </c>
      <c r="G638">
        <v>75.679000000000002</v>
      </c>
      <c r="H638">
        <v>74.147000000000006</v>
      </c>
      <c r="I638">
        <v>5.077</v>
      </c>
      <c r="J638">
        <v>8.0259999999999998</v>
      </c>
      <c r="K638">
        <v>52807.851999999999</v>
      </c>
      <c r="L638">
        <v>20.922999999999998</v>
      </c>
      <c r="N638">
        <v>283.37884499999996</v>
      </c>
      <c r="O638">
        <v>351.85753499999993</v>
      </c>
      <c r="P638">
        <v>893.95907999999997</v>
      </c>
      <c r="Q638">
        <v>709.02546399999983</v>
      </c>
      <c r="R638">
        <f t="shared" si="80"/>
        <v>1.6926673972188635</v>
      </c>
      <c r="S638">
        <v>1.6361384086869226</v>
      </c>
      <c r="T638">
        <v>68.478689999999972</v>
      </c>
      <c r="U638">
        <v>184.93361600000014</v>
      </c>
      <c r="V638">
        <v>542.10154499999999</v>
      </c>
      <c r="W638">
        <v>0.21482123981033879</v>
      </c>
      <c r="AE638">
        <f t="shared" si="81"/>
        <v>1.2609341877634561</v>
      </c>
    </row>
    <row r="639" spans="1:31" x14ac:dyDescent="0.25">
      <c r="A639">
        <v>658.85</v>
      </c>
      <c r="B639">
        <v>8.7479999999999993</v>
      </c>
      <c r="C639">
        <v>76.965999999999994</v>
      </c>
      <c r="D639">
        <v>503.19299999999998</v>
      </c>
      <c r="E639">
        <v>344.35599999999999</v>
      </c>
      <c r="F639">
        <v>2.3330000000000002</v>
      </c>
      <c r="G639">
        <v>75.138999999999996</v>
      </c>
      <c r="H639">
        <v>73.691999999999993</v>
      </c>
      <c r="I639">
        <v>4.867</v>
      </c>
      <c r="J639">
        <v>6.7380000000000004</v>
      </c>
      <c r="K639">
        <v>52815.275999999998</v>
      </c>
      <c r="L639">
        <v>21.437999999999999</v>
      </c>
      <c r="N639">
        <v>283.30748999999992</v>
      </c>
      <c r="O639">
        <v>351.86657999999994</v>
      </c>
      <c r="P639">
        <v>891.24176399999988</v>
      </c>
      <c r="Q639">
        <v>708.89688799999988</v>
      </c>
      <c r="R639">
        <f t="shared" si="80"/>
        <v>1.6879328753791352</v>
      </c>
      <c r="S639">
        <v>1.6351103195622283</v>
      </c>
      <c r="T639">
        <v>68.559090000000026</v>
      </c>
      <c r="U639">
        <v>182.344876</v>
      </c>
      <c r="V639">
        <v>539.37518399999999</v>
      </c>
      <c r="W639">
        <v>0.21095851158031767</v>
      </c>
      <c r="AE639">
        <f t="shared" si="81"/>
        <v>1.2609341877634561</v>
      </c>
    </row>
    <row r="640" spans="1:31" x14ac:dyDescent="0.25">
      <c r="A640">
        <v>659.85</v>
      </c>
      <c r="B640">
        <v>8.6809999999999992</v>
      </c>
      <c r="C640">
        <v>77.004999999999995</v>
      </c>
      <c r="D640">
        <v>503.25299999999999</v>
      </c>
      <c r="E640">
        <v>344.10899999999998</v>
      </c>
      <c r="F640">
        <v>2.38</v>
      </c>
      <c r="G640">
        <v>75.540999999999997</v>
      </c>
      <c r="H640">
        <v>74.117999999999995</v>
      </c>
      <c r="I640">
        <v>4.8600000000000003</v>
      </c>
      <c r="J640">
        <v>7.42</v>
      </c>
      <c r="K640">
        <v>52790.786999999997</v>
      </c>
      <c r="L640">
        <v>21.015999999999998</v>
      </c>
      <c r="N640">
        <v>283.2401549999999</v>
      </c>
      <c r="O640">
        <v>351.90577499999995</v>
      </c>
      <c r="P640">
        <v>891.31064399999991</v>
      </c>
      <c r="Q640">
        <v>708.61333200000001</v>
      </c>
      <c r="R640">
        <f t="shared" si="80"/>
        <v>1.6909803551190026</v>
      </c>
      <c r="S640">
        <v>1.6391472868217054</v>
      </c>
      <c r="T640">
        <v>68.665620000000047</v>
      </c>
      <c r="U640">
        <v>182.6973119999999</v>
      </c>
      <c r="V640">
        <v>539.40486899999996</v>
      </c>
      <c r="W640">
        <v>0.21140278583580946</v>
      </c>
      <c r="AE640">
        <f t="shared" si="81"/>
        <v>1.2609341877634561</v>
      </c>
    </row>
    <row r="641" spans="1:31" x14ac:dyDescent="0.25">
      <c r="A641">
        <v>660.85</v>
      </c>
      <c r="B641">
        <v>8.7349999999999994</v>
      </c>
      <c r="C641">
        <v>77.043999999999997</v>
      </c>
      <c r="D641">
        <v>506.846</v>
      </c>
      <c r="E641">
        <v>344.142</v>
      </c>
      <c r="F641">
        <v>2.347</v>
      </c>
      <c r="G641">
        <v>75.534999999999997</v>
      </c>
      <c r="H641">
        <v>74.093999999999994</v>
      </c>
      <c r="I641">
        <v>5.1719999999999997</v>
      </c>
      <c r="J641">
        <v>7.9509999999999996</v>
      </c>
      <c r="K641">
        <v>52800.976999999999</v>
      </c>
      <c r="L641">
        <v>20.89</v>
      </c>
      <c r="N641">
        <v>283.29442499999993</v>
      </c>
      <c r="O641">
        <v>351.9449699999999</v>
      </c>
      <c r="P641">
        <v>895.43540799999994</v>
      </c>
      <c r="Q641">
        <v>708.65121599999986</v>
      </c>
      <c r="R641">
        <f t="shared" si="80"/>
        <v>1.6914508677619584</v>
      </c>
      <c r="S641">
        <v>1.634220406360424</v>
      </c>
      <c r="T641">
        <v>68.650544999999966</v>
      </c>
      <c r="U641">
        <v>186.78419200000008</v>
      </c>
      <c r="V641">
        <v>543.49043800000004</v>
      </c>
      <c r="W641">
        <v>0.21736104030591996</v>
      </c>
      <c r="AE641">
        <f t="shared" si="81"/>
        <v>1.2609341877634561</v>
      </c>
    </row>
    <row r="642" spans="1:31" x14ac:dyDescent="0.25">
      <c r="A642">
        <v>661.85</v>
      </c>
      <c r="B642">
        <v>8.7590000000000003</v>
      </c>
      <c r="C642">
        <v>77.084999999999994</v>
      </c>
      <c r="D642">
        <v>507.76799999999997</v>
      </c>
      <c r="E642">
        <v>344.36</v>
      </c>
      <c r="F642">
        <v>2.3519999999999999</v>
      </c>
      <c r="G642">
        <v>75.491</v>
      </c>
      <c r="H642">
        <v>73.960999999999999</v>
      </c>
      <c r="I642">
        <v>5.03</v>
      </c>
      <c r="J642">
        <v>6.9649999999999999</v>
      </c>
      <c r="K642">
        <v>52793.892999999996</v>
      </c>
      <c r="L642">
        <v>21.181000000000001</v>
      </c>
      <c r="N642">
        <v>283.31854499999997</v>
      </c>
      <c r="O642">
        <v>351.98617499999995</v>
      </c>
      <c r="P642">
        <v>896.4938639999998</v>
      </c>
      <c r="Q642">
        <v>708.90147999999988</v>
      </c>
      <c r="R642">
        <f t="shared" si="80"/>
        <v>1.6909552960737633</v>
      </c>
      <c r="S642">
        <v>1.6351331429097946</v>
      </c>
      <c r="T642">
        <v>68.667629999999974</v>
      </c>
      <c r="U642">
        <v>187.59238399999992</v>
      </c>
      <c r="V642">
        <v>544.5076889999998</v>
      </c>
      <c r="W642">
        <v>0.21840785061898363</v>
      </c>
      <c r="AE642">
        <f t="shared" si="81"/>
        <v>1.2609341877634561</v>
      </c>
    </row>
    <row r="643" spans="1:31" x14ac:dyDescent="0.25">
      <c r="A643">
        <v>662.851</v>
      </c>
      <c r="B643">
        <v>8.9570000000000007</v>
      </c>
      <c r="C643">
        <v>77.204999999999998</v>
      </c>
      <c r="D643">
        <v>507.77199999999999</v>
      </c>
      <c r="E643">
        <v>344.41699999999997</v>
      </c>
      <c r="F643">
        <v>2.3580000000000001</v>
      </c>
      <c r="G643">
        <v>75.900000000000006</v>
      </c>
      <c r="H643">
        <v>74.316999999999993</v>
      </c>
      <c r="I643">
        <v>4.9889999999999999</v>
      </c>
      <c r="J643">
        <v>7.6660000000000004</v>
      </c>
      <c r="K643">
        <v>52787.302000000003</v>
      </c>
      <c r="L643">
        <v>21.899000000000001</v>
      </c>
      <c r="N643">
        <v>283.51753499999995</v>
      </c>
      <c r="O643">
        <v>352.10677499999991</v>
      </c>
      <c r="P643">
        <v>896.49845599999992</v>
      </c>
      <c r="Q643">
        <v>708.96691599999997</v>
      </c>
      <c r="R643">
        <f t="shared" si="80"/>
        <v>1.694723119650853</v>
      </c>
      <c r="S643">
        <v>1.6390325286434568</v>
      </c>
      <c r="T643">
        <v>68.589239999999961</v>
      </c>
      <c r="U643">
        <v>187.53153999999995</v>
      </c>
      <c r="V643">
        <v>544.39168100000006</v>
      </c>
      <c r="W643">
        <v>0.21848662305330116</v>
      </c>
      <c r="AE643">
        <f t="shared" si="81"/>
        <v>1.2609341877634561</v>
      </c>
    </row>
    <row r="644" spans="1:31" x14ac:dyDescent="0.25">
      <c r="A644">
        <v>663.85199999999998</v>
      </c>
      <c r="B644">
        <v>8.968</v>
      </c>
      <c r="C644">
        <v>77.209000000000003</v>
      </c>
      <c r="D644">
        <v>507.44499999999999</v>
      </c>
      <c r="E644">
        <v>344.97399999999999</v>
      </c>
      <c r="F644">
        <v>2.363</v>
      </c>
      <c r="G644">
        <v>75.37</v>
      </c>
      <c r="H644">
        <v>73.879000000000005</v>
      </c>
      <c r="I644">
        <v>4.9740000000000002</v>
      </c>
      <c r="J644">
        <v>7.117</v>
      </c>
      <c r="K644">
        <v>52808.038</v>
      </c>
      <c r="L644">
        <v>21.196999999999999</v>
      </c>
      <c r="N644">
        <v>283.52858999999995</v>
      </c>
      <c r="O644">
        <v>352.11079499999994</v>
      </c>
      <c r="P644">
        <v>896.12306000000001</v>
      </c>
      <c r="Q644">
        <v>709.60635200000002</v>
      </c>
      <c r="R644">
        <f t="shared" si="80"/>
        <v>1.6896366058018382</v>
      </c>
      <c r="S644">
        <v>1.6352213433633866</v>
      </c>
      <c r="T644">
        <v>68.582204999999988</v>
      </c>
      <c r="U644">
        <v>186.51670799999999</v>
      </c>
      <c r="V644">
        <v>544.01226500000007</v>
      </c>
      <c r="W644">
        <v>0.21678647815045124</v>
      </c>
      <c r="AE644">
        <f t="shared" si="81"/>
        <v>1.2609341877634561</v>
      </c>
    </row>
    <row r="645" spans="1:31" x14ac:dyDescent="0.25">
      <c r="A645">
        <v>664.85199999999998</v>
      </c>
      <c r="B645">
        <v>8.9649999999999999</v>
      </c>
      <c r="C645">
        <v>77.236000000000004</v>
      </c>
      <c r="D645">
        <v>508.10899999999998</v>
      </c>
      <c r="E645">
        <v>344.48099999999999</v>
      </c>
      <c r="F645">
        <v>2.3319999999999999</v>
      </c>
      <c r="G645">
        <v>75.319999999999993</v>
      </c>
      <c r="H645">
        <v>73.872</v>
      </c>
      <c r="I645">
        <v>4.9630000000000001</v>
      </c>
      <c r="J645">
        <v>7.4960000000000004</v>
      </c>
      <c r="K645">
        <v>52792.17</v>
      </c>
      <c r="L645">
        <v>21.34</v>
      </c>
      <c r="N645">
        <v>283.52557499999995</v>
      </c>
      <c r="O645">
        <v>352.13792999999993</v>
      </c>
      <c r="P645">
        <v>896.88533199999995</v>
      </c>
      <c r="Q645">
        <v>709.04038799999989</v>
      </c>
      <c r="R645">
        <f t="shared" ref="R645:R708" si="82">(G645+103.5)/(F645+103.5)</f>
        <v>1.6896590823191473</v>
      </c>
      <c r="S645">
        <v>1.6353226445884774</v>
      </c>
      <c r="T645">
        <v>68.61235499999998</v>
      </c>
      <c r="U645">
        <v>187.84494400000005</v>
      </c>
      <c r="V645">
        <v>544.74740199999997</v>
      </c>
      <c r="W645">
        <v>0.2188768382597997</v>
      </c>
      <c r="AE645">
        <f t="shared" ref="AE645:AE708" si="83">103500/(287*(12.85+273.15))</f>
        <v>1.2609341877634561</v>
      </c>
    </row>
    <row r="646" spans="1:31" x14ac:dyDescent="0.25">
      <c r="A646">
        <v>665.85199999999998</v>
      </c>
      <c r="B646">
        <v>9.02</v>
      </c>
      <c r="C646">
        <v>77.271000000000001</v>
      </c>
      <c r="D646">
        <v>506.625</v>
      </c>
      <c r="E646">
        <v>344.48099999999999</v>
      </c>
      <c r="F646">
        <v>2.3370000000000002</v>
      </c>
      <c r="G646">
        <v>75.162999999999997</v>
      </c>
      <c r="H646">
        <v>73.66</v>
      </c>
      <c r="I646">
        <v>5.0039999999999996</v>
      </c>
      <c r="J646">
        <v>7.7610000000000001</v>
      </c>
      <c r="K646">
        <v>52778.341</v>
      </c>
      <c r="L646">
        <v>20.911999999999999</v>
      </c>
      <c r="N646">
        <v>283.58084999999994</v>
      </c>
      <c r="O646">
        <v>352.17310499999996</v>
      </c>
      <c r="P646">
        <v>895.18169999999986</v>
      </c>
      <c r="Q646">
        <v>709.04038799999989</v>
      </c>
      <c r="R646">
        <f t="shared" si="82"/>
        <v>1.6880958454982662</v>
      </c>
      <c r="S646">
        <v>1.6327508663275085</v>
      </c>
      <c r="T646">
        <v>68.592255000000023</v>
      </c>
      <c r="U646">
        <v>186.14131199999997</v>
      </c>
      <c r="V646">
        <v>543.0085949999999</v>
      </c>
      <c r="W646">
        <v>0.21647734139456848</v>
      </c>
      <c r="AE646">
        <f t="shared" si="83"/>
        <v>1.2609341877634561</v>
      </c>
    </row>
    <row r="647" spans="1:31" x14ac:dyDescent="0.25">
      <c r="A647">
        <v>666.85199999999998</v>
      </c>
      <c r="B647">
        <v>9.0519999999999996</v>
      </c>
      <c r="C647">
        <v>77.316000000000003</v>
      </c>
      <c r="D647">
        <v>505.70499999999998</v>
      </c>
      <c r="E647">
        <v>344.99700000000001</v>
      </c>
      <c r="F647">
        <v>2.3410000000000002</v>
      </c>
      <c r="G647">
        <v>75.203999999999994</v>
      </c>
      <c r="H647">
        <v>73.653999999999996</v>
      </c>
      <c r="I647">
        <v>4.9470000000000001</v>
      </c>
      <c r="J647">
        <v>7.1920000000000002</v>
      </c>
      <c r="K647">
        <v>52757.434999999998</v>
      </c>
      <c r="L647">
        <v>21.417000000000002</v>
      </c>
      <c r="N647">
        <v>283.61300999999997</v>
      </c>
      <c r="O647">
        <v>352.21832999999998</v>
      </c>
      <c r="P647">
        <v>894.12554</v>
      </c>
      <c r="Q647">
        <v>709.63275599999986</v>
      </c>
      <c r="R647">
        <f t="shared" si="82"/>
        <v>1.6884194215852082</v>
      </c>
      <c r="S647">
        <v>1.6335537174841166</v>
      </c>
      <c r="T647">
        <v>68.605320000000006</v>
      </c>
      <c r="U647">
        <v>184.49278400000014</v>
      </c>
      <c r="V647">
        <v>541.90721000000008</v>
      </c>
      <c r="W647">
        <v>0.21385112037907766</v>
      </c>
      <c r="AE647">
        <f t="shared" si="83"/>
        <v>1.2609341877634561</v>
      </c>
    </row>
    <row r="648" spans="1:31" x14ac:dyDescent="0.25">
      <c r="A648">
        <v>667.85199999999998</v>
      </c>
      <c r="B648">
        <v>9.1769999999999996</v>
      </c>
      <c r="C648">
        <v>77.28</v>
      </c>
      <c r="D648">
        <v>506.20100000000002</v>
      </c>
      <c r="E648">
        <v>344.88</v>
      </c>
      <c r="F648">
        <v>2.3380000000000001</v>
      </c>
      <c r="G648">
        <v>75.484999999999999</v>
      </c>
      <c r="H648">
        <v>74.116</v>
      </c>
      <c r="I648">
        <v>5.0149999999999997</v>
      </c>
      <c r="J648">
        <v>7.42</v>
      </c>
      <c r="K648">
        <v>52751.321000000004</v>
      </c>
      <c r="L648">
        <v>21.06</v>
      </c>
      <c r="N648">
        <v>283.73863499999999</v>
      </c>
      <c r="O648">
        <v>352.18214999999992</v>
      </c>
      <c r="P648">
        <v>894.69494799999995</v>
      </c>
      <c r="Q648">
        <v>709.49843999999996</v>
      </c>
      <c r="R648">
        <f t="shared" si="82"/>
        <v>1.6911222812222455</v>
      </c>
      <c r="S648">
        <v>1.636787540892964</v>
      </c>
      <c r="T648">
        <v>68.443514999999934</v>
      </c>
      <c r="U648">
        <v>185.19650799999999</v>
      </c>
      <c r="V648">
        <v>542.51279799999998</v>
      </c>
      <c r="W648">
        <v>0.21520781340166664</v>
      </c>
      <c r="AE648">
        <f t="shared" si="83"/>
        <v>1.2609341877634561</v>
      </c>
    </row>
    <row r="649" spans="1:31" x14ac:dyDescent="0.25">
      <c r="A649">
        <v>668.85199999999998</v>
      </c>
      <c r="B649">
        <v>9.1769999999999996</v>
      </c>
      <c r="C649">
        <v>77.271000000000001</v>
      </c>
      <c r="D649">
        <v>509.29300000000001</v>
      </c>
      <c r="E649">
        <v>344.779</v>
      </c>
      <c r="F649">
        <v>2.351</v>
      </c>
      <c r="G649">
        <v>75.650000000000006</v>
      </c>
      <c r="H649">
        <v>74.084999999999994</v>
      </c>
      <c r="I649">
        <v>4.883</v>
      </c>
      <c r="J649">
        <v>7.609</v>
      </c>
      <c r="K649">
        <v>52775.033000000003</v>
      </c>
      <c r="L649">
        <v>20.757999999999999</v>
      </c>
      <c r="N649">
        <v>283.73863499999999</v>
      </c>
      <c r="O649">
        <v>352.17310499999996</v>
      </c>
      <c r="P649">
        <v>898.24456399999985</v>
      </c>
      <c r="Q649">
        <v>709.38249199999996</v>
      </c>
      <c r="R649">
        <f t="shared" si="82"/>
        <v>1.6924733823960096</v>
      </c>
      <c r="S649">
        <v>1.6384949669228568</v>
      </c>
      <c r="T649">
        <v>68.434469999999976</v>
      </c>
      <c r="U649">
        <v>188.8620719999999</v>
      </c>
      <c r="V649">
        <v>546.07145899999989</v>
      </c>
      <c r="W649">
        <v>0.22053451066740323</v>
      </c>
      <c r="AE649">
        <f t="shared" si="83"/>
        <v>1.2609341877634561</v>
      </c>
    </row>
    <row r="650" spans="1:31" x14ac:dyDescent="0.25">
      <c r="A650">
        <v>669.85199999999998</v>
      </c>
      <c r="B650">
        <v>9.1479999999999997</v>
      </c>
      <c r="C650">
        <v>77.260999999999996</v>
      </c>
      <c r="D650">
        <v>509.46300000000002</v>
      </c>
      <c r="E650">
        <v>344.77699999999999</v>
      </c>
      <c r="F650">
        <v>2.3439999999999999</v>
      </c>
      <c r="G650">
        <v>75.350999999999999</v>
      </c>
      <c r="H650">
        <v>73.814999999999998</v>
      </c>
      <c r="I650">
        <v>4.8970000000000002</v>
      </c>
      <c r="J650">
        <v>8.0350000000000001</v>
      </c>
      <c r="K650">
        <v>52788.49</v>
      </c>
      <c r="L650">
        <v>21.082000000000001</v>
      </c>
      <c r="N650">
        <v>283.70948999999996</v>
      </c>
      <c r="O650">
        <v>352.16305499999993</v>
      </c>
      <c r="P650">
        <v>898.43972399999996</v>
      </c>
      <c r="Q650">
        <v>709.38019599999984</v>
      </c>
      <c r="R650">
        <f t="shared" si="82"/>
        <v>1.6897604021012056</v>
      </c>
      <c r="S650">
        <v>1.6357925034825687</v>
      </c>
      <c r="T650">
        <v>68.453564999999969</v>
      </c>
      <c r="U650">
        <v>189.05952800000011</v>
      </c>
      <c r="V650">
        <v>546.27666900000008</v>
      </c>
      <c r="W650">
        <v>0.22077816945903675</v>
      </c>
      <c r="AE650">
        <f t="shared" si="83"/>
        <v>1.2609341877634561</v>
      </c>
    </row>
    <row r="651" spans="1:31" x14ac:dyDescent="0.25">
      <c r="A651">
        <v>670.85199999999998</v>
      </c>
      <c r="B651">
        <v>9.1869999999999994</v>
      </c>
      <c r="C651">
        <v>77.274000000000001</v>
      </c>
      <c r="D651">
        <v>506.483</v>
      </c>
      <c r="E651">
        <v>344.75200000000001</v>
      </c>
      <c r="F651">
        <v>2.3660000000000001</v>
      </c>
      <c r="G651">
        <v>75.194000000000003</v>
      </c>
      <c r="H651">
        <v>73.414000000000001</v>
      </c>
      <c r="I651">
        <v>4.9340000000000002</v>
      </c>
      <c r="J651">
        <v>7.6849999999999996</v>
      </c>
      <c r="K651">
        <v>52773.747000000003</v>
      </c>
      <c r="L651">
        <v>21.492999999999999</v>
      </c>
      <c r="N651">
        <v>283.74868499999997</v>
      </c>
      <c r="O651">
        <v>352.17611999999997</v>
      </c>
      <c r="P651">
        <v>895.01868400000001</v>
      </c>
      <c r="Q651">
        <v>709.351496</v>
      </c>
      <c r="R651">
        <f t="shared" si="82"/>
        <v>1.6879262463869422</v>
      </c>
      <c r="S651">
        <v>1.631536234022539</v>
      </c>
      <c r="T651">
        <v>68.427435000000003</v>
      </c>
      <c r="U651">
        <v>185.66718800000001</v>
      </c>
      <c r="V651">
        <v>542.84256400000004</v>
      </c>
      <c r="W651">
        <v>0.21597376619862846</v>
      </c>
      <c r="AE651">
        <f t="shared" si="83"/>
        <v>1.2609341877634561</v>
      </c>
    </row>
    <row r="652" spans="1:31" x14ac:dyDescent="0.25">
      <c r="A652">
        <v>671.85199999999998</v>
      </c>
      <c r="B652">
        <v>9.2270000000000003</v>
      </c>
      <c r="C652">
        <v>77.159000000000006</v>
      </c>
      <c r="D652">
        <v>506.43099999999998</v>
      </c>
      <c r="E652">
        <v>344.988</v>
      </c>
      <c r="F652">
        <v>2.335</v>
      </c>
      <c r="G652">
        <v>74.903000000000006</v>
      </c>
      <c r="H652">
        <v>73.424999999999997</v>
      </c>
      <c r="I652">
        <v>4.8239999999999998</v>
      </c>
      <c r="J652">
        <v>7.42</v>
      </c>
      <c r="K652">
        <v>52750.163999999997</v>
      </c>
      <c r="L652">
        <v>21.274000000000001</v>
      </c>
      <c r="N652">
        <v>283.78888499999994</v>
      </c>
      <c r="O652">
        <v>352.06054499999993</v>
      </c>
      <c r="P652">
        <v>894.95898799999986</v>
      </c>
      <c r="Q652">
        <v>709.6224239999998</v>
      </c>
      <c r="R652">
        <f t="shared" si="82"/>
        <v>1.6856710917938302</v>
      </c>
      <c r="S652">
        <v>1.6332945607621581</v>
      </c>
      <c r="T652">
        <v>68.271659999999997</v>
      </c>
      <c r="U652">
        <v>185.33656400000007</v>
      </c>
      <c r="V652">
        <v>542.89844299999993</v>
      </c>
      <c r="W652">
        <v>0.21562947086956388</v>
      </c>
      <c r="AE652">
        <f t="shared" si="83"/>
        <v>1.2609341877634561</v>
      </c>
    </row>
    <row r="653" spans="1:31" x14ac:dyDescent="0.25">
      <c r="A653">
        <v>672.85199999999998</v>
      </c>
      <c r="B653">
        <v>9.2899999999999991</v>
      </c>
      <c r="C653">
        <v>77.195999999999998</v>
      </c>
      <c r="D653">
        <v>506.899</v>
      </c>
      <c r="E653">
        <v>345.298</v>
      </c>
      <c r="F653">
        <v>2.331</v>
      </c>
      <c r="G653">
        <v>75.426000000000002</v>
      </c>
      <c r="H653">
        <v>73.756</v>
      </c>
      <c r="I653">
        <v>4.952</v>
      </c>
      <c r="J653">
        <v>7.2309999999999999</v>
      </c>
      <c r="K653">
        <v>52737.879000000001</v>
      </c>
      <c r="L653">
        <v>20.928000000000001</v>
      </c>
      <c r="N653">
        <v>283.85219999999998</v>
      </c>
      <c r="O653">
        <v>352.09772999999996</v>
      </c>
      <c r="P653">
        <v>895.49625199999991</v>
      </c>
      <c r="Q653">
        <v>709.97830399999987</v>
      </c>
      <c r="R653">
        <f t="shared" si="82"/>
        <v>1.6906766448394137</v>
      </c>
      <c r="S653">
        <v>1.6344189134363589</v>
      </c>
      <c r="T653">
        <v>68.245529999999974</v>
      </c>
      <c r="U653">
        <v>185.51794800000005</v>
      </c>
      <c r="V653">
        <v>543.39852199999996</v>
      </c>
      <c r="W653">
        <v>0.21581291308701808</v>
      </c>
      <c r="AE653">
        <f t="shared" si="83"/>
        <v>1.2609341877634561</v>
      </c>
    </row>
    <row r="654" spans="1:31" x14ac:dyDescent="0.25">
      <c r="A654">
        <v>673.85199999999998</v>
      </c>
      <c r="B654">
        <v>9.2919999999999998</v>
      </c>
      <c r="C654">
        <v>77.278999999999996</v>
      </c>
      <c r="D654">
        <v>509.66</v>
      </c>
      <c r="E654">
        <v>345.00799999999998</v>
      </c>
      <c r="F654">
        <v>2.3559999999999999</v>
      </c>
      <c r="G654">
        <v>74.77</v>
      </c>
      <c r="H654">
        <v>73.299000000000007</v>
      </c>
      <c r="I654">
        <v>4.9950000000000001</v>
      </c>
      <c r="J654">
        <v>6.6630000000000003</v>
      </c>
      <c r="K654">
        <v>52744.341</v>
      </c>
      <c r="L654">
        <v>21.207999999999998</v>
      </c>
      <c r="N654">
        <v>283.85420999999991</v>
      </c>
      <c r="O654">
        <v>352.18114499999996</v>
      </c>
      <c r="P654">
        <v>898.6658799999999</v>
      </c>
      <c r="Q654">
        <v>709.64538399999981</v>
      </c>
      <c r="R654">
        <f t="shared" si="82"/>
        <v>1.684080259975816</v>
      </c>
      <c r="S654">
        <v>1.6295589658509608</v>
      </c>
      <c r="T654">
        <v>68.326935000000049</v>
      </c>
      <c r="U654">
        <v>189.02049600000009</v>
      </c>
      <c r="V654">
        <v>546.484735</v>
      </c>
      <c r="W654">
        <v>0.22085440501828482</v>
      </c>
      <c r="AE654">
        <f t="shared" si="83"/>
        <v>1.2609341877634561</v>
      </c>
    </row>
    <row r="655" spans="1:31" x14ac:dyDescent="0.25">
      <c r="A655">
        <v>674.85199999999998</v>
      </c>
      <c r="B655">
        <v>9.266</v>
      </c>
      <c r="C655">
        <v>77.277000000000001</v>
      </c>
      <c r="D655">
        <v>509.54599999999999</v>
      </c>
      <c r="E655">
        <v>344.74299999999999</v>
      </c>
      <c r="F655">
        <v>2.351</v>
      </c>
      <c r="G655">
        <v>75.445999999999998</v>
      </c>
      <c r="H655">
        <v>73.995999999999995</v>
      </c>
      <c r="I655">
        <v>5.0410000000000004</v>
      </c>
      <c r="J655">
        <v>7.42</v>
      </c>
      <c r="K655">
        <v>52744.930999999997</v>
      </c>
      <c r="L655">
        <v>20.791</v>
      </c>
      <c r="N655">
        <v>283.82807999999994</v>
      </c>
      <c r="O655">
        <v>352.17913499999992</v>
      </c>
      <c r="P655">
        <v>898.53500799999983</v>
      </c>
      <c r="Q655">
        <v>709.34116399999994</v>
      </c>
      <c r="R655">
        <f t="shared" si="82"/>
        <v>1.6905461450529518</v>
      </c>
      <c r="S655">
        <v>1.6352898904561408</v>
      </c>
      <c r="T655">
        <v>68.351054999999974</v>
      </c>
      <c r="U655">
        <v>189.1938439999999</v>
      </c>
      <c r="V655">
        <v>546.35587299999997</v>
      </c>
      <c r="W655">
        <v>0.22117962846534631</v>
      </c>
      <c r="AE655">
        <f t="shared" si="83"/>
        <v>1.2609341877634561</v>
      </c>
    </row>
    <row r="656" spans="1:31" x14ac:dyDescent="0.25">
      <c r="A656">
        <v>675.85199999999998</v>
      </c>
      <c r="B656">
        <v>9.1750000000000007</v>
      </c>
      <c r="C656">
        <v>77.257000000000005</v>
      </c>
      <c r="D656">
        <v>507.31299999999999</v>
      </c>
      <c r="E656">
        <v>345.20600000000002</v>
      </c>
      <c r="F656">
        <v>2.367</v>
      </c>
      <c r="G656">
        <v>75.097999999999999</v>
      </c>
      <c r="H656">
        <v>73.56</v>
      </c>
      <c r="I656">
        <v>4.9039999999999999</v>
      </c>
      <c r="J656">
        <v>7.3460000000000001</v>
      </c>
      <c r="K656">
        <v>52744.309000000001</v>
      </c>
      <c r="L656">
        <v>20.757999999999999</v>
      </c>
      <c r="N656">
        <v>283.73662499999995</v>
      </c>
      <c r="O656">
        <v>352.15903499999996</v>
      </c>
      <c r="P656">
        <v>895.97152399999993</v>
      </c>
      <c r="Q656">
        <v>709.87268799999993</v>
      </c>
      <c r="R656">
        <f t="shared" si="82"/>
        <v>1.6870035043970266</v>
      </c>
      <c r="S656">
        <v>1.6333345633002474</v>
      </c>
      <c r="T656">
        <v>68.422410000000013</v>
      </c>
      <c r="U656">
        <v>186.09883600000001</v>
      </c>
      <c r="V656">
        <v>543.81248899999991</v>
      </c>
      <c r="W656">
        <v>0.21639154741810282</v>
      </c>
      <c r="AE656">
        <f t="shared" si="83"/>
        <v>1.2609341877634561</v>
      </c>
    </row>
    <row r="657" spans="1:31" x14ac:dyDescent="0.25">
      <c r="A657">
        <v>676.85299999999995</v>
      </c>
      <c r="B657">
        <v>9.1300000000000008</v>
      </c>
      <c r="C657">
        <v>77.308000000000007</v>
      </c>
      <c r="D657">
        <v>508.20400000000001</v>
      </c>
      <c r="E657">
        <v>344.85</v>
      </c>
      <c r="F657">
        <v>2.3769999999999998</v>
      </c>
      <c r="G657">
        <v>75.45</v>
      </c>
      <c r="H657">
        <v>73.918999999999997</v>
      </c>
      <c r="I657">
        <v>4.9729999999999999</v>
      </c>
      <c r="J657">
        <v>7.4429999999999996</v>
      </c>
      <c r="K657">
        <v>52745.724000000002</v>
      </c>
      <c r="L657">
        <v>21.866</v>
      </c>
      <c r="N657">
        <v>283.69139999999993</v>
      </c>
      <c r="O657">
        <v>352.21028999999993</v>
      </c>
      <c r="P657">
        <v>896.99439199999995</v>
      </c>
      <c r="Q657">
        <v>709.46399999999994</v>
      </c>
      <c r="R657">
        <f t="shared" si="82"/>
        <v>1.690168780755027</v>
      </c>
      <c r="S657">
        <v>1.6356051736376793</v>
      </c>
      <c r="T657">
        <v>68.518889999999999</v>
      </c>
      <c r="U657">
        <v>187.53039200000001</v>
      </c>
      <c r="V657">
        <v>544.78410200000008</v>
      </c>
      <c r="W657">
        <v>0.21845626838794938</v>
      </c>
      <c r="AE657">
        <f t="shared" si="83"/>
        <v>1.2609341877634561</v>
      </c>
    </row>
    <row r="658" spans="1:31" x14ac:dyDescent="0.25">
      <c r="A658">
        <v>677.85299999999995</v>
      </c>
      <c r="B658">
        <v>9.2490000000000006</v>
      </c>
      <c r="C658">
        <v>77.358999999999995</v>
      </c>
      <c r="D658">
        <v>509.077</v>
      </c>
      <c r="E658">
        <v>344.685</v>
      </c>
      <c r="F658">
        <v>2.3540000000000001</v>
      </c>
      <c r="G658">
        <v>75.801000000000002</v>
      </c>
      <c r="H658">
        <v>74.293999999999997</v>
      </c>
      <c r="I658">
        <v>4.9429999999999996</v>
      </c>
      <c r="J658">
        <v>7.7610000000000001</v>
      </c>
      <c r="K658">
        <v>52750.188000000002</v>
      </c>
      <c r="L658">
        <v>21.285</v>
      </c>
      <c r="N658">
        <v>283.81099499999999</v>
      </c>
      <c r="O658">
        <v>352.2615449999999</v>
      </c>
      <c r="P658">
        <v>897.99659599999995</v>
      </c>
      <c r="Q658">
        <v>709.27458000000001</v>
      </c>
      <c r="R658">
        <f t="shared" si="82"/>
        <v>1.6938519092334725</v>
      </c>
      <c r="S658">
        <v>1.6395156902704646</v>
      </c>
      <c r="T658">
        <v>68.450549999999907</v>
      </c>
      <c r="U658">
        <v>188.72201599999994</v>
      </c>
      <c r="V658">
        <v>545.73505100000011</v>
      </c>
      <c r="W658">
        <v>0.22038435277267907</v>
      </c>
      <c r="AE658">
        <f t="shared" si="83"/>
        <v>1.2609341877634561</v>
      </c>
    </row>
    <row r="659" spans="1:31" x14ac:dyDescent="0.25">
      <c r="A659">
        <v>678.85299999999995</v>
      </c>
      <c r="B659">
        <v>9.5050000000000008</v>
      </c>
      <c r="C659">
        <v>77.415000000000006</v>
      </c>
      <c r="D659">
        <v>510.32</v>
      </c>
      <c r="E659">
        <v>345.125</v>
      </c>
      <c r="F659">
        <v>2.387</v>
      </c>
      <c r="G659">
        <v>75.575000000000003</v>
      </c>
      <c r="H659">
        <v>74.165999999999997</v>
      </c>
      <c r="I659">
        <v>5.0190000000000001</v>
      </c>
      <c r="J659">
        <v>7.3819999999999997</v>
      </c>
      <c r="K659">
        <v>52773.529000000002</v>
      </c>
      <c r="L659">
        <v>21.587</v>
      </c>
      <c r="N659">
        <v>284.06827499999991</v>
      </c>
      <c r="O659">
        <v>352.31782499999997</v>
      </c>
      <c r="P659">
        <v>899.42355999999995</v>
      </c>
      <c r="Q659">
        <v>709.77969999999993</v>
      </c>
      <c r="R659">
        <f t="shared" si="82"/>
        <v>1.6911896644536155</v>
      </c>
      <c r="S659">
        <v>1.6371879578691289</v>
      </c>
      <c r="T659">
        <v>68.249550000000056</v>
      </c>
      <c r="U659">
        <v>189.64386000000002</v>
      </c>
      <c r="V659">
        <v>547.10573499999998</v>
      </c>
      <c r="W659">
        <v>0.22188455034199187</v>
      </c>
      <c r="AE659">
        <f t="shared" si="83"/>
        <v>1.2609341877634561</v>
      </c>
    </row>
    <row r="660" spans="1:31" x14ac:dyDescent="0.25">
      <c r="A660">
        <v>679.85299999999995</v>
      </c>
      <c r="B660">
        <v>9.7210000000000001</v>
      </c>
      <c r="C660">
        <v>77.510999999999996</v>
      </c>
      <c r="D660">
        <v>510.24900000000002</v>
      </c>
      <c r="E660">
        <v>345.58499999999998</v>
      </c>
      <c r="F660">
        <v>2.3959999999999999</v>
      </c>
      <c r="G660">
        <v>75.963999999999999</v>
      </c>
      <c r="H660">
        <v>74.558999999999997</v>
      </c>
      <c r="I660">
        <v>4.8499999999999996</v>
      </c>
      <c r="J660">
        <v>8.1389999999999993</v>
      </c>
      <c r="K660">
        <v>52803.525000000001</v>
      </c>
      <c r="L660">
        <v>21.137</v>
      </c>
      <c r="N660">
        <v>284.28535499999992</v>
      </c>
      <c r="O660">
        <v>352.4143049999999</v>
      </c>
      <c r="P660">
        <v>899.34205199999997</v>
      </c>
      <c r="Q660">
        <v>710.30777999999987</v>
      </c>
      <c r="R660">
        <f t="shared" si="82"/>
        <v>1.6947193472841278</v>
      </c>
      <c r="S660">
        <v>1.6433687125057683</v>
      </c>
      <c r="T660">
        <v>68.128949999999975</v>
      </c>
      <c r="U660">
        <v>189.0342720000001</v>
      </c>
      <c r="V660">
        <v>546.92774700000007</v>
      </c>
      <c r="W660">
        <v>0.22106269550811455</v>
      </c>
      <c r="AE660">
        <f t="shared" si="83"/>
        <v>1.2609341877634561</v>
      </c>
    </row>
    <row r="661" spans="1:31" x14ac:dyDescent="0.25">
      <c r="A661">
        <v>680.85299999999995</v>
      </c>
      <c r="B661">
        <v>9.9450000000000003</v>
      </c>
      <c r="C661">
        <v>77.519000000000005</v>
      </c>
      <c r="D661">
        <v>512.25800000000004</v>
      </c>
      <c r="E661">
        <v>345.83300000000003</v>
      </c>
      <c r="F661">
        <v>2.4020000000000001</v>
      </c>
      <c r="G661">
        <v>75.864000000000004</v>
      </c>
      <c r="H661">
        <v>74.412999999999997</v>
      </c>
      <c r="I661">
        <v>4.976</v>
      </c>
      <c r="J661">
        <v>8.1020000000000003</v>
      </c>
      <c r="K661">
        <v>52847.932999999997</v>
      </c>
      <c r="L661">
        <v>21.373000000000001</v>
      </c>
      <c r="N661">
        <v>284.51047499999993</v>
      </c>
      <c r="O661">
        <v>352.42234499999995</v>
      </c>
      <c r="P661">
        <v>901.64838399999996</v>
      </c>
      <c r="Q661">
        <v>710.5924839999999</v>
      </c>
      <c r="R661">
        <f t="shared" si="82"/>
        <v>1.6936790617740931</v>
      </c>
      <c r="S661">
        <v>1.6401139422545081</v>
      </c>
      <c r="T661">
        <v>67.911870000000022</v>
      </c>
      <c r="U661">
        <v>191.05590000000007</v>
      </c>
      <c r="V661">
        <v>549.22603900000001</v>
      </c>
      <c r="W661">
        <v>0.22421375036080551</v>
      </c>
      <c r="AE661">
        <f t="shared" si="83"/>
        <v>1.2609341877634561</v>
      </c>
    </row>
    <row r="662" spans="1:31" x14ac:dyDescent="0.25">
      <c r="A662">
        <v>681.85299999999995</v>
      </c>
      <c r="B662">
        <v>10.031000000000001</v>
      </c>
      <c r="C662">
        <v>77.475999999999999</v>
      </c>
      <c r="D662">
        <v>512.84</v>
      </c>
      <c r="E662">
        <v>345.673</v>
      </c>
      <c r="F662">
        <v>2.3959999999999999</v>
      </c>
      <c r="G662">
        <v>75.766000000000005</v>
      </c>
      <c r="H662">
        <v>74.221999999999994</v>
      </c>
      <c r="I662">
        <v>4.9889999999999999</v>
      </c>
      <c r="J662">
        <v>7.7229999999999999</v>
      </c>
      <c r="K662">
        <v>52861.019</v>
      </c>
      <c r="L662">
        <v>20.462</v>
      </c>
      <c r="N662">
        <v>284.59690499999994</v>
      </c>
      <c r="O662">
        <v>352.37912999999992</v>
      </c>
      <c r="P662">
        <v>902.31651999999997</v>
      </c>
      <c r="Q662">
        <v>710.40880399999992</v>
      </c>
      <c r="R662">
        <f t="shared" si="82"/>
        <v>1.6928495882752892</v>
      </c>
      <c r="S662">
        <v>1.6381568638295123</v>
      </c>
      <c r="T662">
        <v>67.782224999999983</v>
      </c>
      <c r="U662">
        <v>191.90771600000005</v>
      </c>
      <c r="V662">
        <v>549.93739000000005</v>
      </c>
      <c r="W662">
        <v>0.225708404733128</v>
      </c>
      <c r="AE662">
        <f t="shared" si="83"/>
        <v>1.2609341877634561</v>
      </c>
    </row>
    <row r="663" spans="1:31" x14ac:dyDescent="0.25">
      <c r="A663">
        <v>682.85299999999995</v>
      </c>
      <c r="B663">
        <v>10.097</v>
      </c>
      <c r="C663">
        <v>77.575000000000003</v>
      </c>
      <c r="D663">
        <v>512.43600000000004</v>
      </c>
      <c r="E663">
        <v>345.76900000000001</v>
      </c>
      <c r="F663">
        <v>2.3650000000000002</v>
      </c>
      <c r="G663">
        <v>75.290000000000006</v>
      </c>
      <c r="H663">
        <v>73.793000000000006</v>
      </c>
      <c r="I663">
        <v>4.9880000000000004</v>
      </c>
      <c r="J663">
        <v>7.8490000000000002</v>
      </c>
      <c r="K663">
        <v>52845.538999999997</v>
      </c>
      <c r="L663">
        <v>21.652000000000001</v>
      </c>
      <c r="N663">
        <v>284.66323499999993</v>
      </c>
      <c r="O663">
        <v>352.47862499999991</v>
      </c>
      <c r="P663">
        <v>901.85272799999996</v>
      </c>
      <c r="Q663">
        <v>710.51901199999998</v>
      </c>
      <c r="R663">
        <f t="shared" si="82"/>
        <v>1.6888490058092858</v>
      </c>
      <c r="S663">
        <v>1.6342176093208467</v>
      </c>
      <c r="T663">
        <v>67.815389999999979</v>
      </c>
      <c r="U663">
        <v>191.33371599999998</v>
      </c>
      <c r="V663">
        <v>549.3741030000001</v>
      </c>
      <c r="W663">
        <v>0.22483463513386612</v>
      </c>
      <c r="AE663">
        <f t="shared" si="83"/>
        <v>1.2609341877634561</v>
      </c>
    </row>
    <row r="664" spans="1:31" x14ac:dyDescent="0.25">
      <c r="A664">
        <v>683.85299999999995</v>
      </c>
      <c r="B664">
        <v>9.9</v>
      </c>
      <c r="C664">
        <v>77.515000000000001</v>
      </c>
      <c r="D664">
        <v>510.60599999999999</v>
      </c>
      <c r="E664">
        <v>345.72399999999999</v>
      </c>
      <c r="F664">
        <v>2.343</v>
      </c>
      <c r="G664">
        <v>75.596000000000004</v>
      </c>
      <c r="H664">
        <v>73.983000000000004</v>
      </c>
      <c r="I664">
        <v>4.976</v>
      </c>
      <c r="J664">
        <v>7.4210000000000003</v>
      </c>
      <c r="K664">
        <v>52804.212</v>
      </c>
      <c r="L664">
        <v>21.251999999999999</v>
      </c>
      <c r="N664">
        <v>284.46524999999991</v>
      </c>
      <c r="O664">
        <v>352.41832499999992</v>
      </c>
      <c r="P664">
        <v>899.75188799999989</v>
      </c>
      <c r="Q664">
        <v>710.46735200000001</v>
      </c>
      <c r="R664">
        <f t="shared" si="82"/>
        <v>1.6920911160870344</v>
      </c>
      <c r="S664">
        <v>1.6361499317821455</v>
      </c>
      <c r="T664">
        <v>67.953075000000013</v>
      </c>
      <c r="U664">
        <v>189.28453599999989</v>
      </c>
      <c r="V664">
        <v>547.33356299999991</v>
      </c>
      <c r="W664">
        <v>0.22167736313294548</v>
      </c>
      <c r="AE664">
        <f t="shared" si="83"/>
        <v>1.2609341877634561</v>
      </c>
    </row>
    <row r="665" spans="1:31" x14ac:dyDescent="0.25">
      <c r="A665">
        <v>684.85299999999995</v>
      </c>
      <c r="B665">
        <v>9.875</v>
      </c>
      <c r="C665">
        <v>77.492000000000004</v>
      </c>
      <c r="D665">
        <v>507.42899999999997</v>
      </c>
      <c r="E665">
        <v>345.79199999999997</v>
      </c>
      <c r="F665">
        <v>2.3719999999999999</v>
      </c>
      <c r="G665">
        <v>75.900000000000006</v>
      </c>
      <c r="H665">
        <v>74.399000000000001</v>
      </c>
      <c r="I665">
        <v>5.109</v>
      </c>
      <c r="J665">
        <v>7.3819999999999997</v>
      </c>
      <c r="K665">
        <v>52802.328000000001</v>
      </c>
      <c r="L665">
        <v>21.669</v>
      </c>
      <c r="N665">
        <v>284.44012499999997</v>
      </c>
      <c r="O665">
        <v>352.39520999999996</v>
      </c>
      <c r="P665">
        <v>896.10469199999989</v>
      </c>
      <c r="Q665">
        <v>710.54541599999993</v>
      </c>
      <c r="R665">
        <f t="shared" si="82"/>
        <v>1.6944990176817289</v>
      </c>
      <c r="S665">
        <v>1.6379765949414875</v>
      </c>
      <c r="T665">
        <v>67.955084999999997</v>
      </c>
      <c r="U665">
        <v>185.55927599999995</v>
      </c>
      <c r="V665">
        <v>543.70948199999998</v>
      </c>
      <c r="W665">
        <v>0.21629968741284517</v>
      </c>
      <c r="AE665">
        <f t="shared" si="83"/>
        <v>1.2609341877634561</v>
      </c>
    </row>
    <row r="666" spans="1:31" x14ac:dyDescent="0.25">
      <c r="A666">
        <v>685.85299999999995</v>
      </c>
      <c r="B666">
        <v>9.8849999999999998</v>
      </c>
      <c r="C666">
        <v>77.48</v>
      </c>
      <c r="D666">
        <v>507.11399999999998</v>
      </c>
      <c r="E666">
        <v>346.33600000000001</v>
      </c>
      <c r="F666">
        <v>2.3820000000000001</v>
      </c>
      <c r="G666">
        <v>75.882999999999996</v>
      </c>
      <c r="H666">
        <v>74.415000000000006</v>
      </c>
      <c r="I666">
        <v>5.0570000000000004</v>
      </c>
      <c r="J666">
        <v>7.0030000000000001</v>
      </c>
      <c r="K666">
        <v>52839.118000000002</v>
      </c>
      <c r="L666">
        <v>20.939</v>
      </c>
      <c r="N666">
        <v>284.45017499999994</v>
      </c>
      <c r="O666">
        <v>352.38314999999994</v>
      </c>
      <c r="P666">
        <v>895.74307199999976</v>
      </c>
      <c r="Q666">
        <v>711.16992799999991</v>
      </c>
      <c r="R666">
        <f t="shared" si="82"/>
        <v>1.6941784250391942</v>
      </c>
      <c r="S666">
        <v>1.6389085917996999</v>
      </c>
      <c r="T666">
        <v>67.932974999999999</v>
      </c>
      <c r="U666">
        <v>184.57314399999984</v>
      </c>
      <c r="V666">
        <v>543.35992199999987</v>
      </c>
      <c r="W666">
        <v>0.21466465279711938</v>
      </c>
      <c r="AE666">
        <f t="shared" si="83"/>
        <v>1.2609341877634561</v>
      </c>
    </row>
    <row r="667" spans="1:31" x14ac:dyDescent="0.25">
      <c r="A667">
        <v>686.85299999999995</v>
      </c>
      <c r="B667">
        <v>9.7880000000000003</v>
      </c>
      <c r="C667">
        <v>77.459000000000003</v>
      </c>
      <c r="D667">
        <v>506.9</v>
      </c>
      <c r="E667">
        <v>345.24700000000001</v>
      </c>
      <c r="F667">
        <v>2.3650000000000002</v>
      </c>
      <c r="G667">
        <v>75.734999999999999</v>
      </c>
      <c r="H667">
        <v>74.224999999999994</v>
      </c>
      <c r="I667">
        <v>5.0510000000000002</v>
      </c>
      <c r="J667">
        <v>7.7990000000000004</v>
      </c>
      <c r="K667">
        <v>52856.165999999997</v>
      </c>
      <c r="L667">
        <v>20.95</v>
      </c>
      <c r="N667">
        <v>284.35268999999994</v>
      </c>
      <c r="O667">
        <v>352.36204499999997</v>
      </c>
      <c r="P667">
        <v>895.49739999999986</v>
      </c>
      <c r="Q667">
        <v>709.91975599999989</v>
      </c>
      <c r="R667">
        <f t="shared" si="82"/>
        <v>1.693052472488547</v>
      </c>
      <c r="S667">
        <v>1.6372488507706053</v>
      </c>
      <c r="T667">
        <v>68.009355000000028</v>
      </c>
      <c r="U667">
        <v>185.57764399999996</v>
      </c>
      <c r="V667">
        <v>543.13535499999989</v>
      </c>
      <c r="W667">
        <v>0.21646222791002062</v>
      </c>
      <c r="AE667">
        <f t="shared" si="83"/>
        <v>1.2609341877634561</v>
      </c>
    </row>
    <row r="668" spans="1:31" x14ac:dyDescent="0.25">
      <c r="A668">
        <v>687.85299999999995</v>
      </c>
      <c r="B668">
        <v>9.7970000000000006</v>
      </c>
      <c r="C668">
        <v>77.53</v>
      </c>
      <c r="D668">
        <v>507.16899999999998</v>
      </c>
      <c r="E668">
        <v>345.60700000000003</v>
      </c>
      <c r="F668">
        <v>2.395</v>
      </c>
      <c r="G668">
        <v>75.460999999999999</v>
      </c>
      <c r="H668">
        <v>73.930000000000007</v>
      </c>
      <c r="I668">
        <v>5.077</v>
      </c>
      <c r="J668">
        <v>8.2530000000000001</v>
      </c>
      <c r="K668">
        <v>52841.932000000001</v>
      </c>
      <c r="L668">
        <v>21.219000000000001</v>
      </c>
      <c r="N668">
        <v>284.36173499999995</v>
      </c>
      <c r="O668">
        <v>352.43339999999989</v>
      </c>
      <c r="P668">
        <v>895.80621199999985</v>
      </c>
      <c r="Q668">
        <v>710.33303599999999</v>
      </c>
      <c r="R668">
        <f t="shared" si="82"/>
        <v>1.6899853628594363</v>
      </c>
      <c r="S668">
        <v>1.6341398270351917</v>
      </c>
      <c r="T668">
        <v>68.071664999999939</v>
      </c>
      <c r="U668">
        <v>185.47317599999985</v>
      </c>
      <c r="V668">
        <v>543.37281199999995</v>
      </c>
      <c r="W668">
        <v>0.21606070161640684</v>
      </c>
      <c r="AE668">
        <f t="shared" si="83"/>
        <v>1.2609341877634561</v>
      </c>
    </row>
    <row r="669" spans="1:31" x14ac:dyDescent="0.25">
      <c r="A669">
        <v>688.85299999999995</v>
      </c>
      <c r="B669">
        <v>9.7929999999999993</v>
      </c>
      <c r="C669">
        <v>77.414000000000001</v>
      </c>
      <c r="D669">
        <v>508.22399999999999</v>
      </c>
      <c r="E669">
        <v>345.90699999999998</v>
      </c>
      <c r="F669">
        <v>2.3610000000000002</v>
      </c>
      <c r="G669">
        <v>75.682000000000002</v>
      </c>
      <c r="H669">
        <v>74.165999999999997</v>
      </c>
      <c r="I669">
        <v>4.9820000000000002</v>
      </c>
      <c r="J669">
        <v>6.702</v>
      </c>
      <c r="K669">
        <v>52824.366000000002</v>
      </c>
      <c r="L669">
        <v>20.763999999999999</v>
      </c>
      <c r="N669">
        <v>284.35771499999993</v>
      </c>
      <c r="O669">
        <v>352.31681999999995</v>
      </c>
      <c r="P669">
        <v>897.01735199999996</v>
      </c>
      <c r="Q669">
        <v>710.67743599999994</v>
      </c>
      <c r="R669">
        <f t="shared" si="82"/>
        <v>1.6926157886284847</v>
      </c>
      <c r="S669">
        <v>1.6377463542338822</v>
      </c>
      <c r="T669">
        <v>67.959105000000022</v>
      </c>
      <c r="U669">
        <v>186.33991600000002</v>
      </c>
      <c r="V669">
        <v>544.70053200000007</v>
      </c>
      <c r="W669">
        <v>0.21733191734793456</v>
      </c>
      <c r="AE669">
        <f t="shared" si="83"/>
        <v>1.2609341877634561</v>
      </c>
    </row>
    <row r="670" spans="1:31" x14ac:dyDescent="0.25">
      <c r="A670">
        <v>689.85299999999995</v>
      </c>
      <c r="B670">
        <v>9.6839999999999993</v>
      </c>
      <c r="C670">
        <v>77.460999999999999</v>
      </c>
      <c r="D670">
        <v>509.73</v>
      </c>
      <c r="E670">
        <v>345.63</v>
      </c>
      <c r="F670">
        <v>2.371</v>
      </c>
      <c r="G670">
        <v>75.796999999999997</v>
      </c>
      <c r="H670">
        <v>74.238</v>
      </c>
      <c r="I670">
        <v>4.9989999999999997</v>
      </c>
      <c r="J670">
        <v>8.2929999999999993</v>
      </c>
      <c r="K670">
        <v>52814.078999999998</v>
      </c>
      <c r="L670">
        <v>21.521000000000001</v>
      </c>
      <c r="N670">
        <v>284.24816999999996</v>
      </c>
      <c r="O670">
        <v>352.36405499999995</v>
      </c>
      <c r="P670">
        <v>898.74623999999994</v>
      </c>
      <c r="Q670">
        <v>710.35943999999995</v>
      </c>
      <c r="R670">
        <f t="shared" si="82"/>
        <v>1.6935421409073306</v>
      </c>
      <c r="S670">
        <v>1.6381533470354566</v>
      </c>
      <c r="T670">
        <v>68.115884999999992</v>
      </c>
      <c r="U670">
        <v>188.38679999999999</v>
      </c>
      <c r="V670">
        <v>546.38218499999994</v>
      </c>
      <c r="W670">
        <v>0.22012232152115285</v>
      </c>
      <c r="AE670">
        <f t="shared" si="83"/>
        <v>1.2609341877634561</v>
      </c>
    </row>
    <row r="671" spans="1:31" x14ac:dyDescent="0.25">
      <c r="A671">
        <v>690.85400000000004</v>
      </c>
      <c r="B671">
        <v>9.5399999999999991</v>
      </c>
      <c r="C671">
        <v>77.373000000000005</v>
      </c>
      <c r="D671">
        <v>508.90100000000001</v>
      </c>
      <c r="E671">
        <v>346.28800000000001</v>
      </c>
      <c r="F671">
        <v>2.3690000000000002</v>
      </c>
      <c r="G671">
        <v>75.81</v>
      </c>
      <c r="H671">
        <v>74.326999999999998</v>
      </c>
      <c r="I671">
        <v>5.0209999999999999</v>
      </c>
      <c r="J671">
        <v>6.47</v>
      </c>
      <c r="K671">
        <v>52811.75</v>
      </c>
      <c r="L671">
        <v>21.192</v>
      </c>
      <c r="N671">
        <v>284.10344999999995</v>
      </c>
      <c r="O671">
        <v>352.2756149999999</v>
      </c>
      <c r="P671">
        <v>897.79454799999985</v>
      </c>
      <c r="Q671">
        <v>711.11482399999989</v>
      </c>
      <c r="R671">
        <f t="shared" si="82"/>
        <v>1.6936969273347251</v>
      </c>
      <c r="S671">
        <v>1.6386413689516315</v>
      </c>
      <c r="T671">
        <v>68.17216499999995</v>
      </c>
      <c r="U671">
        <v>186.67972399999996</v>
      </c>
      <c r="V671">
        <v>545.51893299999995</v>
      </c>
      <c r="W671">
        <v>0.2172382145350765</v>
      </c>
      <c r="AE671">
        <f t="shared" si="83"/>
        <v>1.2609341877634561</v>
      </c>
    </row>
    <row r="672" spans="1:31" x14ac:dyDescent="0.25">
      <c r="A672">
        <v>691.85500000000002</v>
      </c>
      <c r="B672">
        <v>9.4830000000000005</v>
      </c>
      <c r="C672">
        <v>77.271000000000001</v>
      </c>
      <c r="D672">
        <v>507.25700000000001</v>
      </c>
      <c r="E672">
        <v>346.214</v>
      </c>
      <c r="F672">
        <v>2.3410000000000002</v>
      </c>
      <c r="G672">
        <v>75.44</v>
      </c>
      <c r="H672">
        <v>73.838999999999999</v>
      </c>
      <c r="I672">
        <v>4.9820000000000002</v>
      </c>
      <c r="J672">
        <v>7.2309999999999999</v>
      </c>
      <c r="K672">
        <v>52827.383000000002</v>
      </c>
      <c r="L672">
        <v>20.841000000000001</v>
      </c>
      <c r="N672">
        <v>284.04616499999997</v>
      </c>
      <c r="O672">
        <v>352.17310499999996</v>
      </c>
      <c r="P672">
        <v>895.9072359999999</v>
      </c>
      <c r="Q672">
        <v>711.02987199999995</v>
      </c>
      <c r="R672">
        <f t="shared" si="82"/>
        <v>1.6906491813191487</v>
      </c>
      <c r="S672">
        <v>1.6347320292767464</v>
      </c>
      <c r="T672">
        <v>68.126939999999991</v>
      </c>
      <c r="U672">
        <v>184.87736399999994</v>
      </c>
      <c r="V672">
        <v>543.73413099999993</v>
      </c>
      <c r="W672">
        <v>0.21471968990668339</v>
      </c>
      <c r="AE672">
        <f t="shared" si="83"/>
        <v>1.2609341877634561</v>
      </c>
    </row>
    <row r="673" spans="1:31" x14ac:dyDescent="0.25">
      <c r="A673">
        <v>692.85500000000002</v>
      </c>
      <c r="B673">
        <v>9.5619999999999994</v>
      </c>
      <c r="C673">
        <v>77.319999999999993</v>
      </c>
      <c r="D673">
        <v>508.40600000000001</v>
      </c>
      <c r="E673">
        <v>345.54500000000002</v>
      </c>
      <c r="F673">
        <v>2.3690000000000002</v>
      </c>
      <c r="G673">
        <v>75.263000000000005</v>
      </c>
      <c r="H673">
        <v>73.751000000000005</v>
      </c>
      <c r="I673">
        <v>4.9649999999999999</v>
      </c>
      <c r="J673">
        <v>7.9119999999999999</v>
      </c>
      <c r="K673">
        <v>52812.413</v>
      </c>
      <c r="L673">
        <v>21.202999999999999</v>
      </c>
      <c r="N673">
        <v>284.12555999999995</v>
      </c>
      <c r="O673">
        <v>352.22234999999995</v>
      </c>
      <c r="P673">
        <v>897.22628799999995</v>
      </c>
      <c r="Q673">
        <v>710.26185999999984</v>
      </c>
      <c r="R673">
        <f t="shared" si="82"/>
        <v>1.6885301646374293</v>
      </c>
      <c r="S673">
        <v>1.6341769234315218</v>
      </c>
      <c r="T673">
        <v>68.096789999999999</v>
      </c>
      <c r="U673">
        <v>186.96442800000011</v>
      </c>
      <c r="V673">
        <v>545.00393800000006</v>
      </c>
      <c r="W673">
        <v>0.2181041818453798</v>
      </c>
      <c r="AE673">
        <f t="shared" si="83"/>
        <v>1.2609341877634561</v>
      </c>
    </row>
    <row r="674" spans="1:31" x14ac:dyDescent="0.25">
      <c r="A674">
        <v>693.85500000000002</v>
      </c>
      <c r="B674">
        <v>9.5329999999999995</v>
      </c>
      <c r="C674">
        <v>77.346999999999994</v>
      </c>
      <c r="D674">
        <v>510.62200000000001</v>
      </c>
      <c r="E674">
        <v>345.72899999999998</v>
      </c>
      <c r="F674">
        <v>2.3650000000000002</v>
      </c>
      <c r="G674">
        <v>75.656000000000006</v>
      </c>
      <c r="H674">
        <v>74.125</v>
      </c>
      <c r="I674">
        <v>4.9359999999999999</v>
      </c>
      <c r="J674">
        <v>6.5490000000000004</v>
      </c>
      <c r="K674">
        <v>52815.542999999998</v>
      </c>
      <c r="L674">
        <v>20.818999999999999</v>
      </c>
      <c r="N674">
        <v>284.09641499999998</v>
      </c>
      <c r="O674">
        <v>352.24948499999994</v>
      </c>
      <c r="P674">
        <v>899.7702559999999</v>
      </c>
      <c r="Q674">
        <v>710.47309199999984</v>
      </c>
      <c r="R674">
        <f t="shared" si="82"/>
        <v>1.6923062390780712</v>
      </c>
      <c r="S674">
        <v>1.6380630049061196</v>
      </c>
      <c r="T674">
        <v>68.153069999999957</v>
      </c>
      <c r="U674">
        <v>189.29716400000007</v>
      </c>
      <c r="V674">
        <v>547.52077099999997</v>
      </c>
      <c r="W674">
        <v>0.22125935748289652</v>
      </c>
      <c r="AE674">
        <f t="shared" si="83"/>
        <v>1.2609341877634561</v>
      </c>
    </row>
    <row r="675" spans="1:31" x14ac:dyDescent="0.25">
      <c r="A675">
        <v>694.85500000000002</v>
      </c>
      <c r="B675">
        <v>9.49</v>
      </c>
      <c r="C675">
        <v>77.358000000000004</v>
      </c>
      <c r="D675">
        <v>514.21</v>
      </c>
      <c r="E675">
        <v>345.44200000000001</v>
      </c>
      <c r="F675">
        <v>2.3809999999999998</v>
      </c>
      <c r="G675">
        <v>75.509</v>
      </c>
      <c r="H675">
        <v>74.152000000000001</v>
      </c>
      <c r="I675">
        <v>5.0149999999999997</v>
      </c>
      <c r="J675">
        <v>6.8890000000000002</v>
      </c>
      <c r="K675">
        <v>52839.336000000003</v>
      </c>
      <c r="L675">
        <v>21.213999999999999</v>
      </c>
      <c r="N675">
        <v>284.05319999999995</v>
      </c>
      <c r="O675">
        <v>352.26053999999993</v>
      </c>
      <c r="P675">
        <v>903.88927999999999</v>
      </c>
      <c r="Q675">
        <v>710.14361599999995</v>
      </c>
      <c r="R675">
        <f t="shared" si="82"/>
        <v>1.6906621584609138</v>
      </c>
      <c r="S675">
        <v>1.6371192922637423</v>
      </c>
      <c r="T675">
        <v>68.207339999999988</v>
      </c>
      <c r="U675">
        <v>193.74566400000003</v>
      </c>
      <c r="V675">
        <v>551.62874000000011</v>
      </c>
      <c r="W675">
        <v>0.22757756240184299</v>
      </c>
      <c r="AE675">
        <f t="shared" si="83"/>
        <v>1.2609341877634561</v>
      </c>
    </row>
    <row r="676" spans="1:31" x14ac:dyDescent="0.25">
      <c r="A676">
        <v>695.85500000000002</v>
      </c>
      <c r="B676">
        <v>9.4849999999999994</v>
      </c>
      <c r="C676">
        <v>77.352000000000004</v>
      </c>
      <c r="D676">
        <v>514.14</v>
      </c>
      <c r="E676">
        <v>345.67200000000003</v>
      </c>
      <c r="F676">
        <v>2.36</v>
      </c>
      <c r="G676">
        <v>75.652000000000001</v>
      </c>
      <c r="H676">
        <v>74.123000000000005</v>
      </c>
      <c r="I676">
        <v>4.9800000000000004</v>
      </c>
      <c r="J676">
        <v>7.3440000000000003</v>
      </c>
      <c r="K676">
        <v>52851.726000000002</v>
      </c>
      <c r="L676">
        <v>20.702999999999999</v>
      </c>
      <c r="N676">
        <v>284.04817499999996</v>
      </c>
      <c r="O676">
        <v>352.25450999999993</v>
      </c>
      <c r="P676">
        <v>903.80891999999994</v>
      </c>
      <c r="Q676">
        <v>710.40765599999997</v>
      </c>
      <c r="R676">
        <f t="shared" si="82"/>
        <v>1.6923483846589835</v>
      </c>
      <c r="S676">
        <v>1.6373801622418878</v>
      </c>
      <c r="T676">
        <v>68.206334999999967</v>
      </c>
      <c r="U676">
        <v>193.40126399999997</v>
      </c>
      <c r="V676">
        <v>551.55440999999996</v>
      </c>
      <c r="W676">
        <v>0.22698563682955597</v>
      </c>
      <c r="AE676">
        <f t="shared" si="83"/>
        <v>1.2609341877634561</v>
      </c>
    </row>
    <row r="677" spans="1:31" x14ac:dyDescent="0.25">
      <c r="A677">
        <v>696.85500000000002</v>
      </c>
      <c r="B677">
        <v>9.3800000000000008</v>
      </c>
      <c r="C677">
        <v>77.344999999999999</v>
      </c>
      <c r="D677">
        <v>515.75300000000004</v>
      </c>
      <c r="E677">
        <v>345.99099999999999</v>
      </c>
      <c r="F677">
        <v>2.375</v>
      </c>
      <c r="G677">
        <v>75.56</v>
      </c>
      <c r="H677">
        <v>74.138999999999996</v>
      </c>
      <c r="I677">
        <v>4.9189999999999996</v>
      </c>
      <c r="J677">
        <v>7.7850000000000001</v>
      </c>
      <c r="K677">
        <v>52844.406999999999</v>
      </c>
      <c r="L677">
        <v>20.989000000000001</v>
      </c>
      <c r="N677">
        <v>283.94264999999996</v>
      </c>
      <c r="O677">
        <v>352.24747499999995</v>
      </c>
      <c r="P677">
        <v>905.66064399999993</v>
      </c>
      <c r="Q677">
        <v>710.77386799999988</v>
      </c>
      <c r="R677">
        <f t="shared" si="82"/>
        <v>1.6912396694214877</v>
      </c>
      <c r="S677">
        <v>1.6384489803447737</v>
      </c>
      <c r="T677">
        <v>68.304824999999994</v>
      </c>
      <c r="U677">
        <v>194.88677600000005</v>
      </c>
      <c r="V677">
        <v>553.41316899999993</v>
      </c>
      <c r="W677">
        <v>0.22872956064404762</v>
      </c>
      <c r="AE677">
        <f t="shared" si="83"/>
        <v>1.2609341877634561</v>
      </c>
    </row>
    <row r="678" spans="1:31" x14ac:dyDescent="0.25">
      <c r="A678">
        <v>697.85599999999999</v>
      </c>
      <c r="B678">
        <v>9.4540000000000006</v>
      </c>
      <c r="C678">
        <v>77.397999999999996</v>
      </c>
      <c r="D678">
        <v>514.851</v>
      </c>
      <c r="E678">
        <v>346.60500000000002</v>
      </c>
      <c r="F678">
        <v>2.3610000000000002</v>
      </c>
      <c r="G678">
        <v>74.701999999999998</v>
      </c>
      <c r="H678">
        <v>73.381</v>
      </c>
      <c r="I678">
        <v>4.9050000000000002</v>
      </c>
      <c r="J678">
        <v>7.0419999999999998</v>
      </c>
      <c r="K678">
        <v>52818.932000000001</v>
      </c>
      <c r="L678">
        <v>21.06</v>
      </c>
      <c r="N678">
        <v>284.01701999999995</v>
      </c>
      <c r="O678">
        <v>352.30073999999996</v>
      </c>
      <c r="P678">
        <v>904.62514799999985</v>
      </c>
      <c r="Q678">
        <v>711.4787399999999</v>
      </c>
      <c r="R678">
        <f t="shared" si="82"/>
        <v>1.6833583661593976</v>
      </c>
      <c r="S678">
        <v>1.6316682809833494</v>
      </c>
      <c r="T678">
        <v>68.283720000000017</v>
      </c>
      <c r="U678">
        <v>193.14640799999995</v>
      </c>
      <c r="V678">
        <v>552.32440799999995</v>
      </c>
      <c r="W678">
        <v>0.22606766275663115</v>
      </c>
      <c r="AE678">
        <f t="shared" si="83"/>
        <v>1.2609341877634561</v>
      </c>
    </row>
    <row r="679" spans="1:31" x14ac:dyDescent="0.25">
      <c r="A679">
        <v>698.85599999999999</v>
      </c>
      <c r="B679">
        <v>9.4480000000000004</v>
      </c>
      <c r="C679">
        <v>77.53</v>
      </c>
      <c r="D679">
        <v>512.98299999999995</v>
      </c>
      <c r="E679">
        <v>346.08100000000002</v>
      </c>
      <c r="F679">
        <v>2.3370000000000002</v>
      </c>
      <c r="G679">
        <v>75.09</v>
      </c>
      <c r="H679">
        <v>73.552000000000007</v>
      </c>
      <c r="I679">
        <v>4.9870000000000001</v>
      </c>
      <c r="J679">
        <v>6.89</v>
      </c>
      <c r="K679">
        <v>52765.862000000001</v>
      </c>
      <c r="L679">
        <v>21.263000000000002</v>
      </c>
      <c r="N679">
        <v>284.01098999999994</v>
      </c>
      <c r="O679">
        <v>352.43339999999989</v>
      </c>
      <c r="P679">
        <v>902.48068399999988</v>
      </c>
      <c r="Q679">
        <v>710.87718799999993</v>
      </c>
      <c r="R679">
        <f t="shared" si="82"/>
        <v>1.6874061056152385</v>
      </c>
      <c r="S679">
        <v>1.6320112087162519</v>
      </c>
      <c r="T679">
        <v>68.422409999999957</v>
      </c>
      <c r="U679">
        <v>191.60349599999995</v>
      </c>
      <c r="V679">
        <v>550.04728399999999</v>
      </c>
      <c r="W679">
        <v>0.22394635803710286</v>
      </c>
      <c r="AE679">
        <f t="shared" si="83"/>
        <v>1.2609341877634561</v>
      </c>
    </row>
    <row r="680" spans="1:31" x14ac:dyDescent="0.25">
      <c r="A680">
        <v>699.85599999999999</v>
      </c>
      <c r="B680">
        <v>9.5939999999999994</v>
      </c>
      <c r="C680">
        <v>77.540000000000006</v>
      </c>
      <c r="D680">
        <v>513.89800000000002</v>
      </c>
      <c r="E680">
        <v>346.47800000000001</v>
      </c>
      <c r="F680">
        <v>2.3199999999999998</v>
      </c>
      <c r="G680">
        <v>74.840999999999994</v>
      </c>
      <c r="H680">
        <v>73.203999999999994</v>
      </c>
      <c r="I680">
        <v>5.093</v>
      </c>
      <c r="J680">
        <v>7.6849999999999996</v>
      </c>
      <c r="K680">
        <v>52738.211000000003</v>
      </c>
      <c r="L680">
        <v>21.4</v>
      </c>
      <c r="N680">
        <v>284.15771999999993</v>
      </c>
      <c r="O680">
        <v>352.44344999999998</v>
      </c>
      <c r="P680">
        <v>903.53110399999991</v>
      </c>
      <c r="Q680">
        <v>711.33294399999988</v>
      </c>
      <c r="R680">
        <f t="shared" si="82"/>
        <v>1.6853241353241355</v>
      </c>
      <c r="S680">
        <v>1.6272135404676176</v>
      </c>
      <c r="T680">
        <v>68.285730000000058</v>
      </c>
      <c r="U680">
        <v>192.19816000000003</v>
      </c>
      <c r="V680">
        <v>551.08765399999993</v>
      </c>
      <c r="W680">
        <v>0.22485067321069035</v>
      </c>
      <c r="AE680">
        <f t="shared" si="83"/>
        <v>1.2609341877634561</v>
      </c>
    </row>
    <row r="681" spans="1:31" x14ac:dyDescent="0.25">
      <c r="A681">
        <v>700.85599999999999</v>
      </c>
      <c r="B681">
        <v>9.5809999999999995</v>
      </c>
      <c r="C681">
        <v>77.506</v>
      </c>
      <c r="D681">
        <v>517.16200000000003</v>
      </c>
      <c r="E681">
        <v>346.18900000000002</v>
      </c>
      <c r="F681">
        <v>2.3559999999999999</v>
      </c>
      <c r="G681">
        <v>75.126999999999995</v>
      </c>
      <c r="H681">
        <v>73.671999999999997</v>
      </c>
      <c r="I681">
        <v>4.9749999999999996</v>
      </c>
      <c r="J681">
        <v>8.6310000000000002</v>
      </c>
      <c r="K681">
        <v>52708.449000000001</v>
      </c>
      <c r="L681">
        <v>20.413</v>
      </c>
      <c r="N681">
        <v>284.14465499999994</v>
      </c>
      <c r="O681">
        <v>352.40927999999991</v>
      </c>
      <c r="P681">
        <v>907.27817599999992</v>
      </c>
      <c r="Q681">
        <v>711.00117199999988</v>
      </c>
      <c r="R681">
        <f t="shared" si="82"/>
        <v>1.6874527660217655</v>
      </c>
      <c r="S681">
        <v>1.6332979949297073</v>
      </c>
      <c r="T681">
        <v>68.264624999999967</v>
      </c>
      <c r="U681">
        <v>196.27700400000003</v>
      </c>
      <c r="V681">
        <v>554.86889599999995</v>
      </c>
      <c r="W681">
        <v>0.23070743363491775</v>
      </c>
      <c r="AE681">
        <f t="shared" si="83"/>
        <v>1.2609341877634561</v>
      </c>
    </row>
    <row r="682" spans="1:31" x14ac:dyDescent="0.25">
      <c r="A682">
        <v>701.85599999999999</v>
      </c>
      <c r="B682">
        <v>9.7420000000000009</v>
      </c>
      <c r="C682">
        <v>77.561000000000007</v>
      </c>
      <c r="D682">
        <v>514.53499999999997</v>
      </c>
      <c r="E682">
        <v>346.36900000000003</v>
      </c>
      <c r="F682">
        <v>2.3860000000000001</v>
      </c>
      <c r="G682">
        <v>75.251000000000005</v>
      </c>
      <c r="H682">
        <v>73.765000000000001</v>
      </c>
      <c r="I682">
        <v>5.069</v>
      </c>
      <c r="J682">
        <v>7.6470000000000002</v>
      </c>
      <c r="K682">
        <v>52700.709000000003</v>
      </c>
      <c r="L682">
        <v>21.044</v>
      </c>
      <c r="N682">
        <v>284.30645999999996</v>
      </c>
      <c r="O682">
        <v>352.46455499999996</v>
      </c>
      <c r="P682">
        <v>904.26237999999989</v>
      </c>
      <c r="Q682">
        <v>711.20781199999999</v>
      </c>
      <c r="R682">
        <f t="shared" si="82"/>
        <v>1.6881457416466767</v>
      </c>
      <c r="S682">
        <v>1.6327404691947056</v>
      </c>
      <c r="T682">
        <v>68.158095000000003</v>
      </c>
      <c r="U682">
        <v>193.0545679999999</v>
      </c>
      <c r="V682">
        <v>551.79782499999988</v>
      </c>
      <c r="W682">
        <v>0.22634462721921733</v>
      </c>
      <c r="AE682">
        <f t="shared" si="83"/>
        <v>1.2609341877634561</v>
      </c>
    </row>
    <row r="683" spans="1:31" x14ac:dyDescent="0.25">
      <c r="A683">
        <v>702.85599999999999</v>
      </c>
      <c r="B683">
        <v>9.7379999999999995</v>
      </c>
      <c r="C683">
        <v>77.55</v>
      </c>
      <c r="D683">
        <v>512.16899999999998</v>
      </c>
      <c r="E683">
        <v>346.09300000000002</v>
      </c>
      <c r="F683">
        <v>2.3380000000000001</v>
      </c>
      <c r="G683">
        <v>74.903999999999996</v>
      </c>
      <c r="H683">
        <v>73.471000000000004</v>
      </c>
      <c r="I683">
        <v>5.1050000000000004</v>
      </c>
      <c r="J683">
        <v>7.5709999999999997</v>
      </c>
      <c r="K683">
        <v>52705.828999999998</v>
      </c>
      <c r="L683">
        <v>21.427</v>
      </c>
      <c r="N683">
        <v>284.30243999999993</v>
      </c>
      <c r="O683">
        <v>352.45349999999996</v>
      </c>
      <c r="P683">
        <v>901.54621199999985</v>
      </c>
      <c r="Q683">
        <v>710.89096399999983</v>
      </c>
      <c r="R683">
        <f t="shared" si="82"/>
        <v>1.6856327595003686</v>
      </c>
      <c r="S683">
        <v>1.6294921964918743</v>
      </c>
      <c r="T683">
        <v>68.15106000000003</v>
      </c>
      <c r="U683">
        <v>190.65524800000003</v>
      </c>
      <c r="V683">
        <v>549.09271199999989</v>
      </c>
      <c r="W683">
        <v>0.22310292109650151</v>
      </c>
      <c r="AE683">
        <f t="shared" si="83"/>
        <v>1.2609341877634561</v>
      </c>
    </row>
    <row r="684" spans="1:31" x14ac:dyDescent="0.25">
      <c r="A684">
        <v>703.85599999999999</v>
      </c>
      <c r="B684">
        <v>9.7530000000000001</v>
      </c>
      <c r="C684">
        <v>77.58</v>
      </c>
      <c r="D684">
        <v>508.74700000000001</v>
      </c>
      <c r="E684">
        <v>346.09</v>
      </c>
      <c r="F684">
        <v>2.3380000000000001</v>
      </c>
      <c r="G684">
        <v>74.628</v>
      </c>
      <c r="H684">
        <v>73.159000000000006</v>
      </c>
      <c r="I684">
        <v>5.2009999999999996</v>
      </c>
      <c r="J684">
        <v>7.9710000000000001</v>
      </c>
      <c r="K684">
        <v>52691.19</v>
      </c>
      <c r="L684">
        <v>20.939</v>
      </c>
      <c r="N684">
        <v>284.31751499999996</v>
      </c>
      <c r="O684">
        <v>352.4836499999999</v>
      </c>
      <c r="P684">
        <v>897.61775599999987</v>
      </c>
      <c r="Q684">
        <v>710.88751999999999</v>
      </c>
      <c r="R684">
        <f t="shared" si="82"/>
        <v>1.6830250004724201</v>
      </c>
      <c r="S684">
        <v>1.6251828410042226</v>
      </c>
      <c r="T684">
        <v>68.16613499999994</v>
      </c>
      <c r="U684">
        <v>186.73023599999988</v>
      </c>
      <c r="V684">
        <v>545.13410599999997</v>
      </c>
      <c r="W684">
        <v>0.21749529096607276</v>
      </c>
      <c r="AE684">
        <f t="shared" si="83"/>
        <v>1.2609341877634561</v>
      </c>
    </row>
    <row r="685" spans="1:31" x14ac:dyDescent="0.25">
      <c r="A685">
        <v>704.85599999999999</v>
      </c>
      <c r="B685">
        <v>9.8659999999999997</v>
      </c>
      <c r="C685">
        <v>77.427000000000007</v>
      </c>
      <c r="D685">
        <v>506.34699999999998</v>
      </c>
      <c r="E685">
        <v>345.92200000000003</v>
      </c>
      <c r="F685">
        <v>2.3410000000000002</v>
      </c>
      <c r="G685">
        <v>74.680999999999997</v>
      </c>
      <c r="H685">
        <v>73.192999999999998</v>
      </c>
      <c r="I685">
        <v>5.0199999999999996</v>
      </c>
      <c r="J685">
        <v>8.4789999999999992</v>
      </c>
      <c r="K685">
        <v>52652.427000000003</v>
      </c>
      <c r="L685">
        <v>21.274000000000001</v>
      </c>
      <c r="N685">
        <v>284.43107999999995</v>
      </c>
      <c r="O685">
        <v>352.32988499999993</v>
      </c>
      <c r="P685">
        <v>894.86255599999993</v>
      </c>
      <c r="Q685">
        <v>710.6946559999999</v>
      </c>
      <c r="R685">
        <f t="shared" si="82"/>
        <v>1.6834780472595685</v>
      </c>
      <c r="S685">
        <v>1.6282067821599704</v>
      </c>
      <c r="T685">
        <v>67.898804999999982</v>
      </c>
      <c r="U685">
        <v>184.16790000000003</v>
      </c>
      <c r="V685">
        <v>542.53267099999994</v>
      </c>
      <c r="W685">
        <v>0.21430800616245296</v>
      </c>
      <c r="AE685">
        <f t="shared" si="83"/>
        <v>1.2609341877634561</v>
      </c>
    </row>
    <row r="686" spans="1:31" x14ac:dyDescent="0.25">
      <c r="A686">
        <v>705.85599999999999</v>
      </c>
      <c r="B686">
        <v>9.8160000000000007</v>
      </c>
      <c r="C686">
        <v>77.414000000000001</v>
      </c>
      <c r="D686">
        <v>506.95499999999998</v>
      </c>
      <c r="E686">
        <v>346.28800000000001</v>
      </c>
      <c r="F686">
        <v>2.331</v>
      </c>
      <c r="G686">
        <v>75.292000000000002</v>
      </c>
      <c r="H686">
        <v>73.671999999999997</v>
      </c>
      <c r="I686">
        <v>5.0110000000000001</v>
      </c>
      <c r="J686">
        <v>7.9880000000000004</v>
      </c>
      <c r="K686">
        <v>52645.658000000003</v>
      </c>
      <c r="L686">
        <v>21.263000000000002</v>
      </c>
      <c r="N686">
        <v>284.38082999999995</v>
      </c>
      <c r="O686">
        <v>352.31681999999995</v>
      </c>
      <c r="P686">
        <v>895.56053999999995</v>
      </c>
      <c r="Q686">
        <v>711.11482399999989</v>
      </c>
      <c r="R686">
        <f t="shared" si="82"/>
        <v>1.6894104751915791</v>
      </c>
      <c r="S686">
        <v>1.6327561261070307</v>
      </c>
      <c r="T686">
        <v>67.935990000000004</v>
      </c>
      <c r="U686">
        <v>184.44571600000006</v>
      </c>
      <c r="V686">
        <v>543.24371999999994</v>
      </c>
      <c r="W686">
        <v>0.21447045167866841</v>
      </c>
      <c r="AE686">
        <f t="shared" si="83"/>
        <v>1.2609341877634561</v>
      </c>
    </row>
    <row r="687" spans="1:31" x14ac:dyDescent="0.25">
      <c r="A687">
        <v>706.85599999999999</v>
      </c>
      <c r="B687">
        <v>9.9740000000000002</v>
      </c>
      <c r="C687">
        <v>77.430999999999997</v>
      </c>
      <c r="D687">
        <v>506.64400000000001</v>
      </c>
      <c r="E687">
        <v>346.029</v>
      </c>
      <c r="F687">
        <v>2.3730000000000002</v>
      </c>
      <c r="G687">
        <v>75.227000000000004</v>
      </c>
      <c r="H687">
        <v>73.802000000000007</v>
      </c>
      <c r="I687">
        <v>4.9880000000000004</v>
      </c>
      <c r="J687">
        <v>7.9119999999999999</v>
      </c>
      <c r="K687">
        <v>52668.722999999998</v>
      </c>
      <c r="L687">
        <v>21.004999999999999</v>
      </c>
      <c r="N687">
        <v>284.53961999999996</v>
      </c>
      <c r="O687">
        <v>352.3339049999999</v>
      </c>
      <c r="P687">
        <v>895.20351199999993</v>
      </c>
      <c r="Q687">
        <v>710.8174919999999</v>
      </c>
      <c r="R687">
        <f t="shared" si="82"/>
        <v>1.6881263400489266</v>
      </c>
      <c r="S687">
        <v>1.6343005678047344</v>
      </c>
      <c r="T687">
        <v>67.794284999999945</v>
      </c>
      <c r="U687">
        <v>184.38602000000003</v>
      </c>
      <c r="V687">
        <v>542.86960700000009</v>
      </c>
      <c r="W687">
        <v>0.21476931752416206</v>
      </c>
      <c r="AE687">
        <f t="shared" si="83"/>
        <v>1.2609341877634561</v>
      </c>
    </row>
    <row r="688" spans="1:31" x14ac:dyDescent="0.25">
      <c r="A688">
        <v>707.85699999999997</v>
      </c>
      <c r="B688">
        <v>10.25</v>
      </c>
      <c r="C688">
        <v>77.361999999999995</v>
      </c>
      <c r="D688">
        <v>504.62</v>
      </c>
      <c r="E688">
        <v>345.73700000000002</v>
      </c>
      <c r="F688">
        <v>2.3650000000000002</v>
      </c>
      <c r="G688">
        <v>75.375</v>
      </c>
      <c r="H688">
        <v>73.873000000000005</v>
      </c>
      <c r="I688">
        <v>5.0309999999999997</v>
      </c>
      <c r="J688">
        <v>7.117</v>
      </c>
      <c r="K688">
        <v>52697.425999999999</v>
      </c>
      <c r="L688">
        <v>21.646999999999998</v>
      </c>
      <c r="N688">
        <v>284.81699999999995</v>
      </c>
      <c r="O688">
        <v>352.2645599999999</v>
      </c>
      <c r="P688">
        <v>892.87995999999987</v>
      </c>
      <c r="Q688">
        <v>710.48227599999984</v>
      </c>
      <c r="R688">
        <f t="shared" si="82"/>
        <v>1.6896519151749871</v>
      </c>
      <c r="S688">
        <v>1.6343072486202097</v>
      </c>
      <c r="T688">
        <v>67.447559999999953</v>
      </c>
      <c r="U688">
        <v>182.39768400000003</v>
      </c>
      <c r="V688">
        <v>540.61539999999991</v>
      </c>
      <c r="W688">
        <v>0.21262828250915547</v>
      </c>
      <c r="AE688">
        <f t="shared" si="83"/>
        <v>1.2609341877634561</v>
      </c>
    </row>
    <row r="689" spans="1:31" x14ac:dyDescent="0.25">
      <c r="A689">
        <v>708.85699999999997</v>
      </c>
      <c r="B689">
        <v>10.301</v>
      </c>
      <c r="C689">
        <v>77.260999999999996</v>
      </c>
      <c r="D689">
        <v>504.10500000000002</v>
      </c>
      <c r="E689">
        <v>345.80799999999999</v>
      </c>
      <c r="F689">
        <v>2.363</v>
      </c>
      <c r="G689">
        <v>75.341999999999999</v>
      </c>
      <c r="H689">
        <v>73.87</v>
      </c>
      <c r="I689">
        <v>4.899</v>
      </c>
      <c r="J689">
        <v>7.2309999999999999</v>
      </c>
      <c r="K689">
        <v>52721.760999999999</v>
      </c>
      <c r="L689">
        <v>21.437999999999999</v>
      </c>
      <c r="N689">
        <v>284.86825499999992</v>
      </c>
      <c r="O689">
        <v>352.16305499999993</v>
      </c>
      <c r="P689">
        <v>892.28873999999996</v>
      </c>
      <c r="Q689">
        <v>710.56378399999994</v>
      </c>
      <c r="R689">
        <f t="shared" si="82"/>
        <v>1.6893721130139896</v>
      </c>
      <c r="S689">
        <v>1.6362697072851227</v>
      </c>
      <c r="T689">
        <v>67.294800000000009</v>
      </c>
      <c r="U689">
        <v>181.72495600000002</v>
      </c>
      <c r="V689">
        <v>540.12568499999998</v>
      </c>
      <c r="W689">
        <v>0.21185838625689504</v>
      </c>
      <c r="AE689">
        <f t="shared" si="83"/>
        <v>1.2609341877634561</v>
      </c>
    </row>
    <row r="690" spans="1:31" x14ac:dyDescent="0.25">
      <c r="A690">
        <v>709.85799999999995</v>
      </c>
      <c r="B690">
        <v>10.144</v>
      </c>
      <c r="C690">
        <v>77.221999999999994</v>
      </c>
      <c r="D690">
        <v>504.86</v>
      </c>
      <c r="E690">
        <v>346.05500000000001</v>
      </c>
      <c r="F690">
        <v>2.3439999999999999</v>
      </c>
      <c r="G690">
        <v>75.046000000000006</v>
      </c>
      <c r="H690">
        <v>73.483999999999995</v>
      </c>
      <c r="I690">
        <v>4.9169999999999998</v>
      </c>
      <c r="J690">
        <v>6.93</v>
      </c>
      <c r="K690">
        <v>52718.461000000003</v>
      </c>
      <c r="L690">
        <v>20.736000000000001</v>
      </c>
      <c r="N690">
        <v>284.71046999999993</v>
      </c>
      <c r="O690">
        <v>352.12385999999992</v>
      </c>
      <c r="P690">
        <v>893.1554799999999</v>
      </c>
      <c r="Q690">
        <v>710.8473399999998</v>
      </c>
      <c r="R690">
        <f t="shared" si="82"/>
        <v>1.6868788027663353</v>
      </c>
      <c r="S690">
        <v>1.6324377173321525</v>
      </c>
      <c r="T690">
        <v>67.413389999999993</v>
      </c>
      <c r="U690">
        <v>182.30814000000009</v>
      </c>
      <c r="V690">
        <v>541.03161999999998</v>
      </c>
      <c r="W690">
        <v>0.2123623569358111</v>
      </c>
      <c r="AE690">
        <f t="shared" si="83"/>
        <v>1.2609341877634561</v>
      </c>
    </row>
    <row r="691" spans="1:31" x14ac:dyDescent="0.25">
      <c r="A691">
        <v>710.85799999999995</v>
      </c>
      <c r="B691">
        <v>9.875</v>
      </c>
      <c r="C691">
        <v>77.209000000000003</v>
      </c>
      <c r="D691">
        <v>503.28199999999998</v>
      </c>
      <c r="E691">
        <v>345.95400000000001</v>
      </c>
      <c r="F691">
        <v>2.3559999999999999</v>
      </c>
      <c r="G691">
        <v>74.491</v>
      </c>
      <c r="H691">
        <v>72.974999999999994</v>
      </c>
      <c r="I691">
        <v>5.0350000000000001</v>
      </c>
      <c r="J691">
        <v>7.2110000000000003</v>
      </c>
      <c r="K691">
        <v>52692.233999999997</v>
      </c>
      <c r="L691">
        <v>21.433</v>
      </c>
      <c r="N691">
        <v>284.44012499999997</v>
      </c>
      <c r="O691">
        <v>352.11079499999994</v>
      </c>
      <c r="P691">
        <v>891.34393599999999</v>
      </c>
      <c r="Q691">
        <v>710.73139200000003</v>
      </c>
      <c r="R691">
        <f t="shared" si="82"/>
        <v>1.6814446039903264</v>
      </c>
      <c r="S691">
        <v>1.6259731883724144</v>
      </c>
      <c r="T691">
        <v>67.670669999999973</v>
      </c>
      <c r="U691">
        <v>180.61254399999996</v>
      </c>
      <c r="V691">
        <v>539.23314100000005</v>
      </c>
      <c r="W691">
        <v>0.20944905906664216</v>
      </c>
      <c r="AE691">
        <f t="shared" si="83"/>
        <v>1.2609341877634561</v>
      </c>
    </row>
    <row r="692" spans="1:31" x14ac:dyDescent="0.25">
      <c r="A692">
        <v>711.85799999999995</v>
      </c>
      <c r="B692">
        <v>9.7469999999999999</v>
      </c>
      <c r="C692">
        <v>77.087000000000003</v>
      </c>
      <c r="D692">
        <v>503.90899999999999</v>
      </c>
      <c r="E692">
        <v>346.23099999999999</v>
      </c>
      <c r="F692">
        <v>2.347</v>
      </c>
      <c r="G692">
        <v>74.671999999999997</v>
      </c>
      <c r="H692">
        <v>73.144999999999996</v>
      </c>
      <c r="I692">
        <v>4.827</v>
      </c>
      <c r="J692">
        <v>7.7240000000000002</v>
      </c>
      <c r="K692">
        <v>52659.56</v>
      </c>
      <c r="L692">
        <v>20.698</v>
      </c>
      <c r="N692">
        <v>284.31148499999995</v>
      </c>
      <c r="O692">
        <v>351.98818499999993</v>
      </c>
      <c r="P692">
        <v>892.06373199999985</v>
      </c>
      <c r="Q692">
        <v>711.04938799999991</v>
      </c>
      <c r="R692">
        <f t="shared" si="82"/>
        <v>1.6832975899175224</v>
      </c>
      <c r="S692">
        <v>1.6306645619282356</v>
      </c>
      <c r="T692">
        <v>67.676699999999983</v>
      </c>
      <c r="U692">
        <v>181.01434399999994</v>
      </c>
      <c r="V692">
        <v>540.07554699999991</v>
      </c>
      <c r="W692">
        <v>0.20985516679946994</v>
      </c>
      <c r="AE692">
        <f t="shared" si="83"/>
        <v>1.2609341877634561</v>
      </c>
    </row>
    <row r="693" spans="1:31" x14ac:dyDescent="0.25">
      <c r="A693">
        <v>712.85799999999995</v>
      </c>
      <c r="B693">
        <v>9.5890000000000004</v>
      </c>
      <c r="C693">
        <v>77.051000000000002</v>
      </c>
      <c r="D693">
        <v>508.06</v>
      </c>
      <c r="E693">
        <v>346.11399999999998</v>
      </c>
      <c r="F693">
        <v>2.3290000000000002</v>
      </c>
      <c r="G693">
        <v>75.078999999999994</v>
      </c>
      <c r="H693">
        <v>73.635000000000005</v>
      </c>
      <c r="I693">
        <v>5.13</v>
      </c>
      <c r="J693">
        <v>6.8520000000000003</v>
      </c>
      <c r="K693">
        <v>52638.483999999997</v>
      </c>
      <c r="L693">
        <v>21.268000000000001</v>
      </c>
      <c r="N693">
        <v>284.15269499999994</v>
      </c>
      <c r="O693">
        <v>351.95200499999993</v>
      </c>
      <c r="P693">
        <v>896.82907999999998</v>
      </c>
      <c r="Q693">
        <v>710.91507199999978</v>
      </c>
      <c r="R693">
        <f t="shared" si="82"/>
        <v>1.6874297215319054</v>
      </c>
      <c r="S693">
        <v>1.6306268986467827</v>
      </c>
      <c r="T693">
        <v>67.799309999999991</v>
      </c>
      <c r="U693">
        <v>185.91400800000019</v>
      </c>
      <c r="V693">
        <v>544.8770750000001</v>
      </c>
      <c r="W693">
        <v>0.21677310978811171</v>
      </c>
      <c r="AE693">
        <f t="shared" si="83"/>
        <v>1.2609341877634561</v>
      </c>
    </row>
    <row r="694" spans="1:31" x14ac:dyDescent="0.25">
      <c r="A694">
        <v>713.85799999999995</v>
      </c>
      <c r="B694">
        <v>9.6310000000000002</v>
      </c>
      <c r="C694">
        <v>76.989000000000004</v>
      </c>
      <c r="D694">
        <v>507.71300000000002</v>
      </c>
      <c r="E694">
        <v>346.48</v>
      </c>
      <c r="F694">
        <v>2.355</v>
      </c>
      <c r="G694">
        <v>74.11</v>
      </c>
      <c r="H694">
        <v>72.816000000000003</v>
      </c>
      <c r="I694">
        <v>4.9589999999999996</v>
      </c>
      <c r="J694">
        <v>7.4580000000000002</v>
      </c>
      <c r="K694">
        <v>52623.175000000003</v>
      </c>
      <c r="L694">
        <v>21.361999999999998</v>
      </c>
      <c r="N694">
        <v>284.19490499999989</v>
      </c>
      <c r="O694">
        <v>351.88969499999996</v>
      </c>
      <c r="P694">
        <v>896.43072399999994</v>
      </c>
      <c r="Q694">
        <v>711.33523999999989</v>
      </c>
      <c r="R694">
        <f t="shared" si="82"/>
        <v>1.6778612252609704</v>
      </c>
      <c r="S694">
        <v>1.6256465576853927</v>
      </c>
      <c r="T694">
        <v>67.694790000000069</v>
      </c>
      <c r="U694">
        <v>185.09548400000006</v>
      </c>
      <c r="V694">
        <v>544.54102899999998</v>
      </c>
      <c r="W694">
        <v>0.21559568103728688</v>
      </c>
      <c r="AE694">
        <f t="shared" si="83"/>
        <v>1.2609341877634561</v>
      </c>
    </row>
    <row r="695" spans="1:31" x14ac:dyDescent="0.25">
      <c r="A695">
        <v>714.85799999999995</v>
      </c>
      <c r="B695">
        <v>9.6199999999999992</v>
      </c>
      <c r="C695">
        <v>76.875</v>
      </c>
      <c r="D695">
        <v>508.54599999999999</v>
      </c>
      <c r="E695">
        <v>346.73700000000002</v>
      </c>
      <c r="F695">
        <v>2.3340000000000001</v>
      </c>
      <c r="G695">
        <v>74.45</v>
      </c>
      <c r="H695">
        <v>73.123000000000005</v>
      </c>
      <c r="I695">
        <v>5.0570000000000004</v>
      </c>
      <c r="J695">
        <v>7.6849999999999996</v>
      </c>
      <c r="K695">
        <v>52600.417000000001</v>
      </c>
      <c r="L695">
        <v>21.225000000000001</v>
      </c>
      <c r="N695">
        <v>284.18384999999995</v>
      </c>
      <c r="O695">
        <v>351.77512499999995</v>
      </c>
      <c r="P695">
        <v>897.38700799999981</v>
      </c>
      <c r="Q695">
        <v>711.63027599999987</v>
      </c>
      <c r="R695">
        <f t="shared" si="82"/>
        <v>1.6814067312961807</v>
      </c>
      <c r="S695">
        <v>1.6270070101421372</v>
      </c>
      <c r="T695">
        <v>67.591274999999996</v>
      </c>
      <c r="U695">
        <v>185.75673199999994</v>
      </c>
      <c r="V695">
        <v>545.61188299999981</v>
      </c>
      <c r="W695">
        <v>0.21657419986947019</v>
      </c>
      <c r="AE695">
        <f t="shared" si="83"/>
        <v>1.2609341877634561</v>
      </c>
    </row>
    <row r="696" spans="1:31" x14ac:dyDescent="0.25">
      <c r="A696">
        <v>715.85799999999995</v>
      </c>
      <c r="B696">
        <v>9.6159999999999997</v>
      </c>
      <c r="C696">
        <v>76.971999999999994</v>
      </c>
      <c r="D696">
        <v>508.38499999999999</v>
      </c>
      <c r="E696">
        <v>346.149</v>
      </c>
      <c r="F696">
        <v>2.319</v>
      </c>
      <c r="G696">
        <v>74.793000000000006</v>
      </c>
      <c r="H696">
        <v>73.298000000000002</v>
      </c>
      <c r="I696">
        <v>5.0090000000000003</v>
      </c>
      <c r="J696">
        <v>7.306</v>
      </c>
      <c r="K696">
        <v>52583.587</v>
      </c>
      <c r="L696">
        <v>21.093</v>
      </c>
      <c r="N696">
        <v>284.17982999999992</v>
      </c>
      <c r="O696">
        <v>351.8726099999999</v>
      </c>
      <c r="P696">
        <v>897.20217999999988</v>
      </c>
      <c r="Q696">
        <v>710.95525199999997</v>
      </c>
      <c r="R696">
        <f t="shared" si="82"/>
        <v>1.6848864570634763</v>
      </c>
      <c r="S696">
        <v>1.6293395017924781</v>
      </c>
      <c r="T696">
        <v>67.692779999999971</v>
      </c>
      <c r="U696">
        <v>186.24692799999991</v>
      </c>
      <c r="V696">
        <v>545.32956999999999</v>
      </c>
      <c r="W696">
        <v>0.21739908217337259</v>
      </c>
      <c r="AE696">
        <f t="shared" si="83"/>
        <v>1.2609341877634561</v>
      </c>
    </row>
    <row r="697" spans="1:31" x14ac:dyDescent="0.25">
      <c r="A697">
        <v>716.85799999999995</v>
      </c>
      <c r="B697">
        <v>9.7010000000000005</v>
      </c>
      <c r="C697">
        <v>77.012</v>
      </c>
      <c r="D697">
        <v>507.63200000000001</v>
      </c>
      <c r="E697">
        <v>345.61500000000001</v>
      </c>
      <c r="F697">
        <v>2.323</v>
      </c>
      <c r="G697">
        <v>74.444000000000003</v>
      </c>
      <c r="H697">
        <v>72.953000000000003</v>
      </c>
      <c r="I697">
        <v>4.9080000000000004</v>
      </c>
      <c r="J697">
        <v>7.83</v>
      </c>
      <c r="K697">
        <v>52591.286</v>
      </c>
      <c r="L697">
        <v>21.728999999999999</v>
      </c>
      <c r="N697">
        <v>284.26525499999997</v>
      </c>
      <c r="O697">
        <v>351.91280999999992</v>
      </c>
      <c r="P697">
        <v>896.33773599999984</v>
      </c>
      <c r="Q697">
        <v>710.34221999999988</v>
      </c>
      <c r="R697">
        <f t="shared" si="82"/>
        <v>1.6815248102964386</v>
      </c>
      <c r="S697">
        <v>1.6276750793299388</v>
      </c>
      <c r="T697">
        <v>67.647554999999954</v>
      </c>
      <c r="U697">
        <v>185.99551599999995</v>
      </c>
      <c r="V697">
        <v>544.42492599999991</v>
      </c>
      <c r="W697">
        <v>0.21738159909305846</v>
      </c>
      <c r="AE697">
        <f t="shared" si="83"/>
        <v>1.2609341877634561</v>
      </c>
    </row>
    <row r="698" spans="1:31" x14ac:dyDescent="0.25">
      <c r="A698">
        <v>717.85799999999995</v>
      </c>
      <c r="B698">
        <v>9.67</v>
      </c>
      <c r="C698">
        <v>77.033000000000001</v>
      </c>
      <c r="D698">
        <v>508.79700000000003</v>
      </c>
      <c r="E698">
        <v>346.05099999999999</v>
      </c>
      <c r="F698">
        <v>2.3540000000000001</v>
      </c>
      <c r="G698">
        <v>74.858000000000004</v>
      </c>
      <c r="H698">
        <v>73.447999999999993</v>
      </c>
      <c r="I698">
        <v>4.8849999999999998</v>
      </c>
      <c r="J698">
        <v>7.5570000000000004</v>
      </c>
      <c r="K698">
        <v>52598.46</v>
      </c>
      <c r="L698">
        <v>21.027000000000001</v>
      </c>
      <c r="N698">
        <v>284.23409999999996</v>
      </c>
      <c r="O698">
        <v>351.93391499999996</v>
      </c>
      <c r="P698">
        <v>897.6751559999999</v>
      </c>
      <c r="Q698">
        <v>710.84274799999992</v>
      </c>
      <c r="R698">
        <f t="shared" si="82"/>
        <v>1.6849434126249363</v>
      </c>
      <c r="S698">
        <v>1.6325875351755315</v>
      </c>
      <c r="T698">
        <v>67.699815000000001</v>
      </c>
      <c r="U698">
        <v>186.83240799999999</v>
      </c>
      <c r="V698">
        <v>545.74124099999995</v>
      </c>
      <c r="W698">
        <v>0.21829501611735441</v>
      </c>
      <c r="AE698">
        <f t="shared" si="83"/>
        <v>1.2609341877634561</v>
      </c>
    </row>
    <row r="699" spans="1:31" x14ac:dyDescent="0.25">
      <c r="A699">
        <v>718.85799999999995</v>
      </c>
      <c r="B699">
        <v>9.69</v>
      </c>
      <c r="C699">
        <v>77.099999999999994</v>
      </c>
      <c r="D699">
        <v>508.916</v>
      </c>
      <c r="E699">
        <v>345.32299999999998</v>
      </c>
      <c r="F699">
        <v>2.34</v>
      </c>
      <c r="G699">
        <v>74.546000000000006</v>
      </c>
      <c r="H699">
        <v>73.078999999999994</v>
      </c>
      <c r="I699">
        <v>4.8970000000000002</v>
      </c>
      <c r="J699">
        <v>7.2690000000000001</v>
      </c>
      <c r="K699">
        <v>52607.129000000001</v>
      </c>
      <c r="L699">
        <v>21.417000000000002</v>
      </c>
      <c r="N699">
        <v>284.25419999999997</v>
      </c>
      <c r="O699">
        <v>352.00124999999997</v>
      </c>
      <c r="P699">
        <v>897.81176799999992</v>
      </c>
      <c r="Q699">
        <v>710.00700399999994</v>
      </c>
      <c r="R699">
        <f t="shared" si="82"/>
        <v>1.6822184429327285</v>
      </c>
      <c r="S699">
        <v>1.6290026476747512</v>
      </c>
      <c r="T699">
        <v>67.747050000000002</v>
      </c>
      <c r="U699">
        <v>187.80476399999998</v>
      </c>
      <c r="V699">
        <v>545.810518</v>
      </c>
      <c r="W699">
        <v>0.21996225803768768</v>
      </c>
      <c r="AE699">
        <f t="shared" si="83"/>
        <v>1.2609341877634561</v>
      </c>
    </row>
    <row r="700" spans="1:31" x14ac:dyDescent="0.25">
      <c r="A700">
        <v>719.85799999999995</v>
      </c>
      <c r="B700">
        <v>9.6649999999999991</v>
      </c>
      <c r="C700">
        <v>77.209000000000003</v>
      </c>
      <c r="D700">
        <v>508.55700000000002</v>
      </c>
      <c r="E700">
        <v>345.976</v>
      </c>
      <c r="F700">
        <v>2.33</v>
      </c>
      <c r="G700">
        <v>75.016999999999996</v>
      </c>
      <c r="H700">
        <v>73.468000000000004</v>
      </c>
      <c r="I700">
        <v>4.9109999999999996</v>
      </c>
      <c r="J700">
        <v>7.6429999999999998</v>
      </c>
      <c r="K700">
        <v>52605.9</v>
      </c>
      <c r="L700">
        <v>21.783999999999999</v>
      </c>
      <c r="N700">
        <v>284.22907499999997</v>
      </c>
      <c r="O700">
        <v>352.11079499999994</v>
      </c>
      <c r="P700">
        <v>897.39963599999987</v>
      </c>
      <c r="Q700">
        <v>710.75664799999993</v>
      </c>
      <c r="R700">
        <f t="shared" si="82"/>
        <v>1.6868279315883965</v>
      </c>
      <c r="S700">
        <v>1.6323804779957756</v>
      </c>
      <c r="T700">
        <v>67.881719999999973</v>
      </c>
      <c r="U700">
        <v>186.64298799999995</v>
      </c>
      <c r="V700">
        <v>545.28884099999993</v>
      </c>
      <c r="W700">
        <v>0.21779515565036106</v>
      </c>
      <c r="AE700">
        <f t="shared" si="83"/>
        <v>1.2609341877634561</v>
      </c>
    </row>
    <row r="701" spans="1:31" x14ac:dyDescent="0.25">
      <c r="A701">
        <v>720.85799999999995</v>
      </c>
      <c r="B701">
        <v>9.8079999999999998</v>
      </c>
      <c r="C701">
        <v>77.271000000000001</v>
      </c>
      <c r="D701">
        <v>509.09</v>
      </c>
      <c r="E701">
        <v>346.08600000000001</v>
      </c>
      <c r="F701">
        <v>2.347</v>
      </c>
      <c r="G701">
        <v>74.611999999999995</v>
      </c>
      <c r="H701">
        <v>73.046999999999997</v>
      </c>
      <c r="I701">
        <v>4.9429999999999996</v>
      </c>
      <c r="J701">
        <v>8.1020000000000003</v>
      </c>
      <c r="K701">
        <v>52616.114999999998</v>
      </c>
      <c r="L701">
        <v>21.411000000000001</v>
      </c>
      <c r="N701">
        <v>284.37278999999995</v>
      </c>
      <c r="O701">
        <v>352.17310499999996</v>
      </c>
      <c r="P701">
        <v>898.0115199999999</v>
      </c>
      <c r="Q701">
        <v>710.88292799999988</v>
      </c>
      <c r="R701">
        <f t="shared" si="82"/>
        <v>1.6827307339839581</v>
      </c>
      <c r="S701">
        <v>1.6280165616960063</v>
      </c>
      <c r="T701">
        <v>67.800315000000012</v>
      </c>
      <c r="U701">
        <v>187.12859200000003</v>
      </c>
      <c r="V701">
        <v>545.83841499999994</v>
      </c>
      <c r="W701">
        <v>0.21861465540126931</v>
      </c>
      <c r="AE701">
        <f t="shared" si="83"/>
        <v>1.2609341877634561</v>
      </c>
    </row>
    <row r="702" spans="1:31" x14ac:dyDescent="0.25">
      <c r="A702">
        <v>721.85900000000004</v>
      </c>
      <c r="B702">
        <v>9.7629999999999999</v>
      </c>
      <c r="C702">
        <v>77.308999999999997</v>
      </c>
      <c r="D702">
        <v>506.36500000000001</v>
      </c>
      <c r="E702">
        <v>345.67899999999997</v>
      </c>
      <c r="F702">
        <v>2.3410000000000002</v>
      </c>
      <c r="G702">
        <v>74.700999999999993</v>
      </c>
      <c r="H702">
        <v>73.23</v>
      </c>
      <c r="I702">
        <v>4.8140000000000001</v>
      </c>
      <c r="J702">
        <v>7.42</v>
      </c>
      <c r="K702">
        <v>52603.440999999999</v>
      </c>
      <c r="L702">
        <v>20.808</v>
      </c>
      <c r="N702">
        <v>284.32756499999994</v>
      </c>
      <c r="O702">
        <v>352.21129499999989</v>
      </c>
      <c r="P702">
        <v>894.88321999999994</v>
      </c>
      <c r="Q702">
        <v>710.41569199999992</v>
      </c>
      <c r="R702">
        <f t="shared" si="82"/>
        <v>1.6836670099488855</v>
      </c>
      <c r="S702">
        <v>1.6316450320364868</v>
      </c>
      <c r="T702">
        <v>67.883729999999957</v>
      </c>
      <c r="U702">
        <v>184.46752800000002</v>
      </c>
      <c r="V702">
        <v>542.6719250000001</v>
      </c>
      <c r="W702">
        <v>0.21483292691067452</v>
      </c>
      <c r="AE702">
        <f t="shared" si="83"/>
        <v>1.2609341877634561</v>
      </c>
    </row>
    <row r="703" spans="1:31" x14ac:dyDescent="0.25">
      <c r="A703">
        <v>722.85900000000004</v>
      </c>
      <c r="B703">
        <v>9.9130000000000003</v>
      </c>
      <c r="C703">
        <v>77.293999999999997</v>
      </c>
      <c r="D703">
        <v>506.67599999999999</v>
      </c>
      <c r="E703">
        <v>346.09300000000002</v>
      </c>
      <c r="F703">
        <v>2.3340000000000001</v>
      </c>
      <c r="G703">
        <v>74.096000000000004</v>
      </c>
      <c r="H703">
        <v>72.573999999999998</v>
      </c>
      <c r="I703">
        <v>4.9960000000000004</v>
      </c>
      <c r="J703">
        <v>7.5339999999999998</v>
      </c>
      <c r="K703">
        <v>52593.963000000003</v>
      </c>
      <c r="L703">
        <v>20.983000000000001</v>
      </c>
      <c r="N703">
        <v>284.47831499999995</v>
      </c>
      <c r="O703">
        <v>352.19621999999993</v>
      </c>
      <c r="P703">
        <v>895.24024799999995</v>
      </c>
      <c r="Q703">
        <v>710.89096399999983</v>
      </c>
      <c r="R703">
        <f t="shared" si="82"/>
        <v>1.6780618704764065</v>
      </c>
      <c r="S703">
        <v>1.6228616723197171</v>
      </c>
      <c r="T703">
        <v>67.717904999999973</v>
      </c>
      <c r="U703">
        <v>184.34928400000013</v>
      </c>
      <c r="V703">
        <v>543.04402800000003</v>
      </c>
      <c r="W703">
        <v>0.21477333878349941</v>
      </c>
      <c r="AE703">
        <f t="shared" si="83"/>
        <v>1.2609341877634561</v>
      </c>
    </row>
    <row r="704" spans="1:31" x14ac:dyDescent="0.25">
      <c r="A704">
        <v>723.85900000000004</v>
      </c>
      <c r="B704">
        <v>9.952</v>
      </c>
      <c r="C704">
        <v>77.317999999999998</v>
      </c>
      <c r="D704">
        <v>505.65</v>
      </c>
      <c r="E704">
        <v>345.56200000000001</v>
      </c>
      <c r="F704">
        <v>2.3290000000000002</v>
      </c>
      <c r="G704">
        <v>74.283000000000001</v>
      </c>
      <c r="H704">
        <v>72.665999999999997</v>
      </c>
      <c r="I704">
        <v>5.0149999999999997</v>
      </c>
      <c r="J704">
        <v>7.4859999999999998</v>
      </c>
      <c r="K704">
        <v>52571.156000000003</v>
      </c>
      <c r="L704">
        <v>21.74</v>
      </c>
      <c r="N704">
        <v>284.51750999999996</v>
      </c>
      <c r="O704">
        <v>352.22033999999991</v>
      </c>
      <c r="P704">
        <v>894.06239999999991</v>
      </c>
      <c r="Q704">
        <v>710.28137599999991</v>
      </c>
      <c r="R704">
        <f t="shared" si="82"/>
        <v>1.6799081537196801</v>
      </c>
      <c r="S704">
        <v>1.6234253329032853</v>
      </c>
      <c r="T704">
        <v>67.702829999999949</v>
      </c>
      <c r="U704">
        <v>183.781024</v>
      </c>
      <c r="V704">
        <v>541.84205999999995</v>
      </c>
      <c r="W704">
        <v>0.21422883635131623</v>
      </c>
      <c r="AE704">
        <f t="shared" si="83"/>
        <v>1.2609341877634561</v>
      </c>
    </row>
    <row r="705" spans="1:31" x14ac:dyDescent="0.25">
      <c r="A705">
        <v>724.85900000000004</v>
      </c>
      <c r="B705">
        <v>9.8930000000000007</v>
      </c>
      <c r="C705">
        <v>77.284999999999997</v>
      </c>
      <c r="D705">
        <v>506.54599999999999</v>
      </c>
      <c r="E705">
        <v>345.99400000000003</v>
      </c>
      <c r="F705">
        <v>2.3450000000000002</v>
      </c>
      <c r="G705">
        <v>74.281000000000006</v>
      </c>
      <c r="H705">
        <v>72.707999999999998</v>
      </c>
      <c r="I705">
        <v>4.9630000000000001</v>
      </c>
      <c r="J705">
        <v>6.9219999999999997</v>
      </c>
      <c r="K705">
        <v>52540.286999999997</v>
      </c>
      <c r="L705">
        <v>21.63</v>
      </c>
      <c r="N705">
        <v>284.458215</v>
      </c>
      <c r="O705">
        <v>352.18717499999991</v>
      </c>
      <c r="P705">
        <v>895.09100799999987</v>
      </c>
      <c r="Q705">
        <v>710.77731199999994</v>
      </c>
      <c r="R705">
        <f t="shared" si="82"/>
        <v>1.6796353157919601</v>
      </c>
      <c r="S705">
        <v>1.6245908743073676</v>
      </c>
      <c r="T705">
        <v>67.728959999999915</v>
      </c>
      <c r="U705">
        <v>184.31369599999994</v>
      </c>
      <c r="V705">
        <v>542.90383299999996</v>
      </c>
      <c r="W705">
        <v>0.21474288614941503</v>
      </c>
      <c r="AE705">
        <f t="shared" si="83"/>
        <v>1.2609341877634561</v>
      </c>
    </row>
    <row r="706" spans="1:31" x14ac:dyDescent="0.25">
      <c r="A706">
        <v>725.85900000000004</v>
      </c>
      <c r="B706">
        <v>9.7379999999999995</v>
      </c>
      <c r="C706">
        <v>77.296999999999997</v>
      </c>
      <c r="D706">
        <v>505.74299999999999</v>
      </c>
      <c r="E706">
        <v>346.06799999999998</v>
      </c>
      <c r="F706">
        <v>2.319</v>
      </c>
      <c r="G706">
        <v>74.525999999999996</v>
      </c>
      <c r="H706">
        <v>73.03</v>
      </c>
      <c r="I706">
        <v>4.9489999999999998</v>
      </c>
      <c r="J706">
        <v>6.7009999999999996</v>
      </c>
      <c r="K706">
        <v>52514.294000000002</v>
      </c>
      <c r="L706">
        <v>21.899000000000001</v>
      </c>
      <c r="N706">
        <v>284.30243999999993</v>
      </c>
      <c r="O706">
        <v>352.19923499999999</v>
      </c>
      <c r="P706">
        <v>894.16916399999991</v>
      </c>
      <c r="Q706">
        <v>710.86226399999987</v>
      </c>
      <c r="R706">
        <f t="shared" si="82"/>
        <v>1.6823632806962834</v>
      </c>
      <c r="S706">
        <v>1.6277697350828499</v>
      </c>
      <c r="T706">
        <v>67.896795000000054</v>
      </c>
      <c r="U706">
        <v>183.30690000000004</v>
      </c>
      <c r="V706">
        <v>541.96992899999987</v>
      </c>
      <c r="W706">
        <v>0.21294558761395785</v>
      </c>
      <c r="AE706">
        <f t="shared" si="83"/>
        <v>1.2609341877634561</v>
      </c>
    </row>
    <row r="707" spans="1:31" x14ac:dyDescent="0.25">
      <c r="A707">
        <v>726.86</v>
      </c>
      <c r="B707">
        <v>9.6039999999999992</v>
      </c>
      <c r="C707">
        <v>77.156999999999996</v>
      </c>
      <c r="D707">
        <v>507.65600000000001</v>
      </c>
      <c r="E707">
        <v>345.57400000000001</v>
      </c>
      <c r="F707">
        <v>2.3460000000000001</v>
      </c>
      <c r="G707">
        <v>74.546999999999997</v>
      </c>
      <c r="H707">
        <v>72.972999999999999</v>
      </c>
      <c r="I707">
        <v>4.9850000000000003</v>
      </c>
      <c r="J707">
        <v>7.7229999999999999</v>
      </c>
      <c r="K707">
        <v>52518.434000000001</v>
      </c>
      <c r="L707">
        <v>21.876999999999999</v>
      </c>
      <c r="N707">
        <v>284.1677699999999</v>
      </c>
      <c r="O707">
        <v>352.05853499999995</v>
      </c>
      <c r="P707">
        <v>896.36528799999996</v>
      </c>
      <c r="Q707">
        <v>710.29515199999992</v>
      </c>
      <c r="R707">
        <f t="shared" si="82"/>
        <v>1.6821325321693781</v>
      </c>
      <c r="S707">
        <v>1.6267041526478316</v>
      </c>
      <c r="T707">
        <v>67.890765000000044</v>
      </c>
      <c r="U707">
        <v>186.07013600000005</v>
      </c>
      <c r="V707">
        <v>544.30675300000007</v>
      </c>
      <c r="W707">
        <v>0.21711906080283372</v>
      </c>
      <c r="AE707">
        <f t="shared" si="83"/>
        <v>1.2609341877634561</v>
      </c>
    </row>
    <row r="708" spans="1:31" x14ac:dyDescent="0.25">
      <c r="A708">
        <v>727.86</v>
      </c>
      <c r="B708">
        <v>9.5660000000000007</v>
      </c>
      <c r="C708">
        <v>77.126000000000005</v>
      </c>
      <c r="D708">
        <v>509.94299999999998</v>
      </c>
      <c r="E708">
        <v>345.22699999999998</v>
      </c>
      <c r="F708">
        <v>2.3260000000000001</v>
      </c>
      <c r="G708">
        <v>75.061000000000007</v>
      </c>
      <c r="H708">
        <v>73.436000000000007</v>
      </c>
      <c r="I708">
        <v>5.0640000000000001</v>
      </c>
      <c r="J708">
        <v>6.8529999999999998</v>
      </c>
      <c r="K708">
        <v>52551.593000000001</v>
      </c>
      <c r="L708">
        <v>21.998000000000001</v>
      </c>
      <c r="N708">
        <v>284.12957999999992</v>
      </c>
      <c r="O708">
        <v>352.02737999999994</v>
      </c>
      <c r="P708">
        <v>898.9907639999999</v>
      </c>
      <c r="Q708">
        <v>709.89679599999988</v>
      </c>
      <c r="R708">
        <f t="shared" si="82"/>
        <v>1.6873074669740897</v>
      </c>
      <c r="S708">
        <v>1.6297851958291885</v>
      </c>
      <c r="T708">
        <v>67.897800000000018</v>
      </c>
      <c r="U708">
        <v>189.09396800000002</v>
      </c>
      <c r="V708">
        <v>546.96338399999991</v>
      </c>
      <c r="W708">
        <v>0.22158003907625382</v>
      </c>
      <c r="AE708">
        <f t="shared" si="83"/>
        <v>1.2609341877634561</v>
      </c>
    </row>
    <row r="709" spans="1:31" x14ac:dyDescent="0.25">
      <c r="A709">
        <v>728.86</v>
      </c>
      <c r="B709">
        <v>9.5220000000000002</v>
      </c>
      <c r="C709">
        <v>77.253</v>
      </c>
      <c r="D709">
        <v>512.16499999999996</v>
      </c>
      <c r="E709">
        <v>345.50799999999998</v>
      </c>
      <c r="F709">
        <v>2.3380000000000001</v>
      </c>
      <c r="G709">
        <v>75.066000000000003</v>
      </c>
      <c r="H709">
        <v>73.582999999999998</v>
      </c>
      <c r="I709">
        <v>4.891</v>
      </c>
      <c r="J709">
        <v>7.1550000000000002</v>
      </c>
      <c r="K709">
        <v>52589.232000000004</v>
      </c>
      <c r="L709">
        <v>21.783999999999999</v>
      </c>
      <c r="N709">
        <v>284.08535999999992</v>
      </c>
      <c r="O709">
        <v>352.15501499999993</v>
      </c>
      <c r="P709">
        <v>901.54161999999985</v>
      </c>
      <c r="Q709">
        <v>710.21938399999988</v>
      </c>
      <c r="R709">
        <f t="shared" ref="R709:R753" si="84">(G709+103.5)/(F709+103.5)</f>
        <v>1.6871634006689471</v>
      </c>
      <c r="S709">
        <v>1.6337426539103799</v>
      </c>
      <c r="T709">
        <v>68.069655000000012</v>
      </c>
      <c r="U709">
        <v>191.32223599999998</v>
      </c>
      <c r="V709">
        <v>549.38660499999992</v>
      </c>
      <c r="W709">
        <v>0.22434580653818451</v>
      </c>
      <c r="AE709">
        <f t="shared" ref="AE709:AE753" si="85">103500/(287*(12.85+273.15))</f>
        <v>1.2609341877634561</v>
      </c>
    </row>
    <row r="710" spans="1:31" x14ac:dyDescent="0.25">
      <c r="A710">
        <v>729.86</v>
      </c>
      <c r="B710">
        <v>9.4580000000000002</v>
      </c>
      <c r="C710">
        <v>77.316000000000003</v>
      </c>
      <c r="D710">
        <v>511.577</v>
      </c>
      <c r="E710">
        <v>345.29700000000003</v>
      </c>
      <c r="F710">
        <v>2.335</v>
      </c>
      <c r="G710">
        <v>75.159000000000006</v>
      </c>
      <c r="H710">
        <v>73.578999999999994</v>
      </c>
      <c r="I710">
        <v>4.9749999999999996</v>
      </c>
      <c r="J710">
        <v>6.9660000000000002</v>
      </c>
      <c r="K710">
        <v>52628.544999999998</v>
      </c>
      <c r="L710">
        <v>21.312000000000001</v>
      </c>
      <c r="N710">
        <v>284.02103999999997</v>
      </c>
      <c r="O710">
        <v>352.21832999999998</v>
      </c>
      <c r="P710">
        <v>900.86659599999984</v>
      </c>
      <c r="Q710">
        <v>709.97715599999992</v>
      </c>
      <c r="R710">
        <f t="shared" si="84"/>
        <v>1.688089951339349</v>
      </c>
      <c r="S710">
        <v>1.6324406545286934</v>
      </c>
      <c r="T710">
        <v>68.19729000000001</v>
      </c>
      <c r="U710">
        <v>190.88943999999992</v>
      </c>
      <c r="V710">
        <v>548.64826599999992</v>
      </c>
      <c r="W710">
        <v>0.22362624217243024</v>
      </c>
      <c r="AE710">
        <f t="shared" si="85"/>
        <v>1.2609341877634561</v>
      </c>
    </row>
    <row r="711" spans="1:31" x14ac:dyDescent="0.25">
      <c r="A711">
        <v>730.86</v>
      </c>
      <c r="B711">
        <v>9.4540000000000006</v>
      </c>
      <c r="C711">
        <v>77.302000000000007</v>
      </c>
      <c r="D711">
        <v>510.36500000000001</v>
      </c>
      <c r="E711">
        <v>345.95800000000003</v>
      </c>
      <c r="F711">
        <v>2.327</v>
      </c>
      <c r="G711">
        <v>74.617999999999995</v>
      </c>
      <c r="H711">
        <v>73.218999999999994</v>
      </c>
      <c r="I711">
        <v>4.9260000000000002</v>
      </c>
      <c r="J711">
        <v>7.1280000000000001</v>
      </c>
      <c r="K711">
        <v>52658.784</v>
      </c>
      <c r="L711">
        <v>21.4</v>
      </c>
      <c r="N711">
        <v>284.01701999999995</v>
      </c>
      <c r="O711">
        <v>352.20425999999998</v>
      </c>
      <c r="P711">
        <v>899.47521999999992</v>
      </c>
      <c r="Q711">
        <v>710.73598399999992</v>
      </c>
      <c r="R711">
        <f t="shared" si="84"/>
        <v>1.6831054456802139</v>
      </c>
      <c r="S711">
        <v>1.629858152103739</v>
      </c>
      <c r="T711">
        <v>68.187240000000031</v>
      </c>
      <c r="U711">
        <v>188.73923600000001</v>
      </c>
      <c r="V711">
        <v>547.27095999999995</v>
      </c>
      <c r="W711">
        <v>0.22027844488587514</v>
      </c>
      <c r="AE711">
        <f t="shared" si="85"/>
        <v>1.2609341877634561</v>
      </c>
    </row>
    <row r="712" spans="1:31" x14ac:dyDescent="0.25">
      <c r="A712">
        <v>731.86</v>
      </c>
      <c r="B712">
        <v>9.48</v>
      </c>
      <c r="C712">
        <v>77.236999999999995</v>
      </c>
      <c r="D712">
        <v>511.67599999999999</v>
      </c>
      <c r="E712">
        <v>345.185</v>
      </c>
      <c r="F712">
        <v>2.3119999999999998</v>
      </c>
      <c r="G712">
        <v>74.539000000000001</v>
      </c>
      <c r="H712">
        <v>73.007000000000005</v>
      </c>
      <c r="I712">
        <v>4.8620000000000001</v>
      </c>
      <c r="J712">
        <v>7.1520000000000001</v>
      </c>
      <c r="K712">
        <v>52647.906000000003</v>
      </c>
      <c r="L712">
        <v>21.152999999999999</v>
      </c>
      <c r="N712">
        <v>284.04314999999997</v>
      </c>
      <c r="O712">
        <v>352.13893499999989</v>
      </c>
      <c r="P712">
        <v>900.98024799999996</v>
      </c>
      <c r="Q712">
        <v>709.84857999999997</v>
      </c>
      <c r="R712">
        <f t="shared" si="84"/>
        <v>1.6825974369636714</v>
      </c>
      <c r="S712">
        <v>1.6288643620457357</v>
      </c>
      <c r="T712">
        <v>68.095784999999921</v>
      </c>
      <c r="U712">
        <v>191.13166799999999</v>
      </c>
      <c r="V712">
        <v>548.84131300000013</v>
      </c>
      <c r="W712">
        <v>0.22417387336874919</v>
      </c>
      <c r="AE712">
        <f t="shared" si="85"/>
        <v>1.2609341877634561</v>
      </c>
    </row>
    <row r="713" spans="1:31" x14ac:dyDescent="0.25">
      <c r="A713">
        <v>732.86099999999999</v>
      </c>
      <c r="B713">
        <v>9.5</v>
      </c>
      <c r="C713">
        <v>77.325000000000003</v>
      </c>
      <c r="D713">
        <v>510.39100000000002</v>
      </c>
      <c r="E713">
        <v>345.952</v>
      </c>
      <c r="F713">
        <v>2.3450000000000002</v>
      </c>
      <c r="G713">
        <v>74.694000000000003</v>
      </c>
      <c r="H713">
        <v>73.16</v>
      </c>
      <c r="I713">
        <v>4.9669999999999996</v>
      </c>
      <c r="J713">
        <v>7.3440000000000003</v>
      </c>
      <c r="K713">
        <v>52617.860999999997</v>
      </c>
      <c r="L713">
        <v>21.097999999999999</v>
      </c>
      <c r="N713">
        <v>284.06324999999993</v>
      </c>
      <c r="O713">
        <v>352.22737499999994</v>
      </c>
      <c r="P713">
        <v>899.50506799999982</v>
      </c>
      <c r="Q713">
        <v>710.72909599999991</v>
      </c>
      <c r="R713">
        <f t="shared" si="84"/>
        <v>1.6835372478624406</v>
      </c>
      <c r="S713">
        <v>1.6286981293849743</v>
      </c>
      <c r="T713">
        <v>68.164125000000013</v>
      </c>
      <c r="U713">
        <v>188.77597199999991</v>
      </c>
      <c r="V713">
        <v>547.27769299999989</v>
      </c>
      <c r="W713">
        <v>0.22038509616360322</v>
      </c>
      <c r="AE713">
        <f t="shared" si="85"/>
        <v>1.2609341877634561</v>
      </c>
    </row>
    <row r="714" spans="1:31" x14ac:dyDescent="0.25">
      <c r="A714">
        <v>733.86199999999997</v>
      </c>
      <c r="B714">
        <v>9.5630000000000006</v>
      </c>
      <c r="C714">
        <v>77.393000000000001</v>
      </c>
      <c r="D714">
        <v>507.13499999999999</v>
      </c>
      <c r="E714">
        <v>345.51299999999998</v>
      </c>
      <c r="F714">
        <v>2.3279999999999998</v>
      </c>
      <c r="G714">
        <v>74.376999999999995</v>
      </c>
      <c r="H714">
        <v>72.930000000000007</v>
      </c>
      <c r="I714">
        <v>5.0599999999999996</v>
      </c>
      <c r="J714">
        <v>7.0789999999999997</v>
      </c>
      <c r="K714">
        <v>52595.385999999999</v>
      </c>
      <c r="L714">
        <v>21.044</v>
      </c>
      <c r="N714">
        <v>284.12656499999991</v>
      </c>
      <c r="O714">
        <v>352.29571499999997</v>
      </c>
      <c r="P714">
        <v>895.76717999999994</v>
      </c>
      <c r="Q714">
        <v>710.22512399999994</v>
      </c>
      <c r="R714">
        <f t="shared" si="84"/>
        <v>1.6808122614052992</v>
      </c>
      <c r="S714">
        <v>1.625184229918939</v>
      </c>
      <c r="T714">
        <v>68.169150000000059</v>
      </c>
      <c r="U714">
        <v>185.542056</v>
      </c>
      <c r="V714">
        <v>543.47146499999997</v>
      </c>
      <c r="W714">
        <v>0.21596884760085786</v>
      </c>
      <c r="AE714">
        <f t="shared" si="85"/>
        <v>1.2609341877634561</v>
      </c>
    </row>
    <row r="715" spans="1:31" x14ac:dyDescent="0.25">
      <c r="A715">
        <v>734.86199999999997</v>
      </c>
      <c r="B715">
        <v>9.5129999999999999</v>
      </c>
      <c r="C715">
        <v>77.281000000000006</v>
      </c>
      <c r="D715">
        <v>505.358</v>
      </c>
      <c r="E715">
        <v>345.90499999999997</v>
      </c>
      <c r="F715">
        <v>2.3220000000000001</v>
      </c>
      <c r="G715">
        <v>75.040000000000006</v>
      </c>
      <c r="H715">
        <v>73.459999999999994</v>
      </c>
      <c r="I715">
        <v>4.8929999999999998</v>
      </c>
      <c r="J715">
        <v>8.1020000000000003</v>
      </c>
      <c r="K715">
        <v>52558.216</v>
      </c>
      <c r="L715">
        <v>21.916</v>
      </c>
      <c r="N715">
        <v>284.07631499999991</v>
      </c>
      <c r="O715">
        <v>352.18315499999994</v>
      </c>
      <c r="P715">
        <v>893.72718399999997</v>
      </c>
      <c r="Q715">
        <v>710.67513999999994</v>
      </c>
      <c r="R715">
        <f t="shared" si="84"/>
        <v>1.6871727996068873</v>
      </c>
      <c r="S715">
        <v>1.6325777494856677</v>
      </c>
      <c r="T715">
        <v>68.106840000000034</v>
      </c>
      <c r="U715">
        <v>183.05204400000002</v>
      </c>
      <c r="V715">
        <v>541.54402900000002</v>
      </c>
      <c r="W715">
        <v>0.21225458659798091</v>
      </c>
      <c r="AE715">
        <f t="shared" si="85"/>
        <v>1.2609341877634561</v>
      </c>
    </row>
    <row r="716" spans="1:31" x14ac:dyDescent="0.25">
      <c r="A716">
        <v>735.86199999999997</v>
      </c>
      <c r="B716">
        <v>9.5419999999999998</v>
      </c>
      <c r="C716">
        <v>77.066999999999993</v>
      </c>
      <c r="D716">
        <v>507.21600000000001</v>
      </c>
      <c r="E716">
        <v>345.642</v>
      </c>
      <c r="F716">
        <v>2.3359999999999999</v>
      </c>
      <c r="G716">
        <v>74.141000000000005</v>
      </c>
      <c r="H716">
        <v>72.831000000000003</v>
      </c>
      <c r="I716">
        <v>4.9349999999999996</v>
      </c>
      <c r="J716">
        <v>7.8739999999999997</v>
      </c>
      <c r="K716">
        <v>52579.131000000001</v>
      </c>
      <c r="L716">
        <v>21.279</v>
      </c>
      <c r="N716">
        <v>284.10545999999994</v>
      </c>
      <c r="O716">
        <v>351.96808499999997</v>
      </c>
      <c r="P716">
        <v>895.86016799999993</v>
      </c>
      <c r="Q716">
        <v>710.37321599999984</v>
      </c>
      <c r="R716">
        <f t="shared" si="84"/>
        <v>1.6784553460070299</v>
      </c>
      <c r="S716">
        <v>1.6261446949785587</v>
      </c>
      <c r="T716">
        <v>67.862625000000037</v>
      </c>
      <c r="U716">
        <v>185.48695200000009</v>
      </c>
      <c r="V716">
        <v>543.89208299999996</v>
      </c>
      <c r="W716">
        <v>0.21626409112485659</v>
      </c>
      <c r="AE716">
        <f t="shared" si="85"/>
        <v>1.2609341877634561</v>
      </c>
    </row>
    <row r="717" spans="1:31" x14ac:dyDescent="0.25">
      <c r="A717">
        <v>736.86199999999997</v>
      </c>
      <c r="B717">
        <v>9.548</v>
      </c>
      <c r="C717">
        <v>77.156000000000006</v>
      </c>
      <c r="D717">
        <v>506.56900000000002</v>
      </c>
      <c r="E717">
        <v>346.11</v>
      </c>
      <c r="F717">
        <v>2.3050000000000002</v>
      </c>
      <c r="G717">
        <v>74.516999999999996</v>
      </c>
      <c r="H717">
        <v>72.992000000000004</v>
      </c>
      <c r="I717">
        <v>5.01</v>
      </c>
      <c r="J717">
        <v>7.0789999999999997</v>
      </c>
      <c r="K717">
        <v>52582.203999999998</v>
      </c>
      <c r="L717">
        <v>21.68</v>
      </c>
      <c r="N717">
        <v>284.11148999999995</v>
      </c>
      <c r="O717">
        <v>352.05752999999993</v>
      </c>
      <c r="P717">
        <v>895.11741199999994</v>
      </c>
      <c r="Q717">
        <v>710.91047999999989</v>
      </c>
      <c r="R717">
        <f t="shared" si="84"/>
        <v>1.682500826993053</v>
      </c>
      <c r="S717">
        <v>1.6265044696341353</v>
      </c>
      <c r="T717">
        <v>67.946039999999982</v>
      </c>
      <c r="U717">
        <v>184.20693200000005</v>
      </c>
      <c r="V717">
        <v>543.05988200000002</v>
      </c>
      <c r="W717">
        <v>0.21408484746070797</v>
      </c>
      <c r="AE717">
        <f t="shared" si="85"/>
        <v>1.2609341877634561</v>
      </c>
    </row>
    <row r="718" spans="1:31" x14ac:dyDescent="0.25">
      <c r="A718">
        <v>737.86199999999997</v>
      </c>
      <c r="B718">
        <v>9.5760000000000005</v>
      </c>
      <c r="C718">
        <v>77.218999999999994</v>
      </c>
      <c r="D718">
        <v>505.46899999999999</v>
      </c>
      <c r="E718">
        <v>345.26400000000001</v>
      </c>
      <c r="F718">
        <v>2.33</v>
      </c>
      <c r="G718">
        <v>74.563000000000002</v>
      </c>
      <c r="H718">
        <v>73.033000000000001</v>
      </c>
      <c r="I718">
        <v>4.9390000000000001</v>
      </c>
      <c r="J718">
        <v>7.0620000000000003</v>
      </c>
      <c r="K718">
        <v>52561.483999999997</v>
      </c>
      <c r="L718">
        <v>20.95</v>
      </c>
      <c r="N718">
        <v>284.13962999999995</v>
      </c>
      <c r="O718">
        <v>352.12084499999992</v>
      </c>
      <c r="P718">
        <v>893.85461199999986</v>
      </c>
      <c r="Q718">
        <v>709.93927199999996</v>
      </c>
      <c r="R718">
        <f t="shared" si="84"/>
        <v>1.682538032693943</v>
      </c>
      <c r="S718">
        <v>1.6279475096598091</v>
      </c>
      <c r="T718">
        <v>67.981214999999963</v>
      </c>
      <c r="U718">
        <v>183.9153399999999</v>
      </c>
      <c r="V718">
        <v>541.73376699999994</v>
      </c>
      <c r="W718">
        <v>0.21400572026738726</v>
      </c>
      <c r="AE718">
        <f t="shared" si="85"/>
        <v>1.2609341877634561</v>
      </c>
    </row>
    <row r="719" spans="1:31" x14ac:dyDescent="0.25">
      <c r="A719">
        <v>738.86300000000006</v>
      </c>
      <c r="B719">
        <v>9.6479999999999997</v>
      </c>
      <c r="C719">
        <v>77.177999999999997</v>
      </c>
      <c r="D719">
        <v>508.59100000000001</v>
      </c>
      <c r="E719">
        <v>345.435</v>
      </c>
      <c r="F719">
        <v>2.3119999999999998</v>
      </c>
      <c r="G719">
        <v>74.37</v>
      </c>
      <c r="H719">
        <v>72.891000000000005</v>
      </c>
      <c r="I719">
        <v>4.8360000000000003</v>
      </c>
      <c r="J719">
        <v>6.8150000000000004</v>
      </c>
      <c r="K719">
        <v>52550.330999999998</v>
      </c>
      <c r="L719">
        <v>21.318000000000001</v>
      </c>
      <c r="N719">
        <v>284.21198999999996</v>
      </c>
      <c r="O719">
        <v>352.07963999999993</v>
      </c>
      <c r="P719">
        <v>897.43866799999989</v>
      </c>
      <c r="Q719">
        <v>710.13558</v>
      </c>
      <c r="R719">
        <f t="shared" si="84"/>
        <v>1.68100026462027</v>
      </c>
      <c r="S719">
        <v>1.6281845369960126</v>
      </c>
      <c r="T719">
        <v>67.867649999999969</v>
      </c>
      <c r="U719">
        <v>187.30308799999989</v>
      </c>
      <c r="V719">
        <v>545.35902799999997</v>
      </c>
      <c r="W719">
        <v>0.21900332050613808</v>
      </c>
      <c r="AE719">
        <f t="shared" si="85"/>
        <v>1.2609341877634561</v>
      </c>
    </row>
    <row r="720" spans="1:31" x14ac:dyDescent="0.25">
      <c r="A720">
        <v>739.86300000000006</v>
      </c>
      <c r="B720">
        <v>9.6120000000000001</v>
      </c>
      <c r="C720">
        <v>77.097999999999999</v>
      </c>
      <c r="D720">
        <v>509.57100000000003</v>
      </c>
      <c r="E720">
        <v>345.36399999999998</v>
      </c>
      <c r="F720">
        <v>2.3180000000000001</v>
      </c>
      <c r="G720">
        <v>74.513000000000005</v>
      </c>
      <c r="H720">
        <v>73.093999999999994</v>
      </c>
      <c r="I720">
        <v>4.9139999999999997</v>
      </c>
      <c r="J720">
        <v>6.8150000000000004</v>
      </c>
      <c r="K720">
        <v>52547.46</v>
      </c>
      <c r="L720">
        <v>21.186</v>
      </c>
      <c r="N720">
        <v>284.17580999999996</v>
      </c>
      <c r="O720">
        <v>351.99923999999993</v>
      </c>
      <c r="P720">
        <v>898.56370799999991</v>
      </c>
      <c r="Q720">
        <v>710.05407199999979</v>
      </c>
      <c r="R720">
        <f t="shared" si="84"/>
        <v>1.6822563269009054</v>
      </c>
      <c r="S720">
        <v>1.6288855682845389</v>
      </c>
      <c r="T720">
        <v>67.823429999999973</v>
      </c>
      <c r="U720">
        <v>188.50963600000011</v>
      </c>
      <c r="V720">
        <v>546.56446800000003</v>
      </c>
      <c r="W720">
        <v>0.22080872992278036</v>
      </c>
      <c r="AE720">
        <f t="shared" si="85"/>
        <v>1.2609341877634561</v>
      </c>
    </row>
    <row r="721" spans="1:31" x14ac:dyDescent="0.25">
      <c r="A721">
        <v>740.86400000000003</v>
      </c>
      <c r="B721">
        <v>9.5329999999999995</v>
      </c>
      <c r="C721">
        <v>77.182000000000002</v>
      </c>
      <c r="D721">
        <v>509.24700000000001</v>
      </c>
      <c r="E721">
        <v>346.06700000000001</v>
      </c>
      <c r="F721">
        <v>2.3140000000000001</v>
      </c>
      <c r="G721">
        <v>74.221999999999994</v>
      </c>
      <c r="H721">
        <v>72.835999999999999</v>
      </c>
      <c r="I721">
        <v>4.8789999999999996</v>
      </c>
      <c r="J721">
        <v>7.9119999999999999</v>
      </c>
      <c r="K721">
        <v>52550.25</v>
      </c>
      <c r="L721">
        <v>21.576000000000001</v>
      </c>
      <c r="N721">
        <v>284.09641499999998</v>
      </c>
      <c r="O721">
        <v>352.08365999999995</v>
      </c>
      <c r="P721">
        <v>898.19175599999983</v>
      </c>
      <c r="Q721">
        <v>710.86111599999992</v>
      </c>
      <c r="R721">
        <f t="shared" si="84"/>
        <v>1.679569811178105</v>
      </c>
      <c r="S721">
        <v>1.627031066904105</v>
      </c>
      <c r="T721">
        <v>67.987244999999973</v>
      </c>
      <c r="U721">
        <v>187.3306399999999</v>
      </c>
      <c r="V721">
        <v>546.10809599999993</v>
      </c>
      <c r="W721">
        <v>0.21853438151555979</v>
      </c>
      <c r="AE721">
        <f t="shared" si="85"/>
        <v>1.2609341877634561</v>
      </c>
    </row>
    <row r="722" spans="1:31" x14ac:dyDescent="0.25">
      <c r="A722">
        <v>741.86500000000001</v>
      </c>
      <c r="B722">
        <v>9.5269999999999992</v>
      </c>
      <c r="C722">
        <v>77.135999999999996</v>
      </c>
      <c r="D722">
        <v>508.65800000000002</v>
      </c>
      <c r="E722">
        <v>345.70600000000002</v>
      </c>
      <c r="F722">
        <v>2.3140000000000001</v>
      </c>
      <c r="G722">
        <v>74.638999999999996</v>
      </c>
      <c r="H722">
        <v>73.007000000000005</v>
      </c>
      <c r="I722">
        <v>4.7519999999999998</v>
      </c>
      <c r="J722">
        <v>8.1389999999999993</v>
      </c>
      <c r="K722">
        <v>52541.313999999998</v>
      </c>
      <c r="L722">
        <v>21.608000000000001</v>
      </c>
      <c r="N722">
        <v>284.09038499999991</v>
      </c>
      <c r="O722">
        <v>352.03742999999992</v>
      </c>
      <c r="P722">
        <v>897.51558399999988</v>
      </c>
      <c r="Q722">
        <v>710.44668799999988</v>
      </c>
      <c r="R722">
        <f t="shared" si="84"/>
        <v>1.6835106885667306</v>
      </c>
      <c r="S722">
        <v>1.6305195285075567</v>
      </c>
      <c r="T722">
        <v>67.947045000000003</v>
      </c>
      <c r="U722">
        <v>187.068896</v>
      </c>
      <c r="V722">
        <v>545.4781539999999</v>
      </c>
      <c r="W722">
        <v>0.21838060814439145</v>
      </c>
      <c r="AE722">
        <f t="shared" si="85"/>
        <v>1.2609341877634561</v>
      </c>
    </row>
    <row r="723" spans="1:31" x14ac:dyDescent="0.25">
      <c r="A723">
        <v>742.86500000000001</v>
      </c>
      <c r="B723">
        <v>9.6820000000000004</v>
      </c>
      <c r="C723">
        <v>77.069999999999993</v>
      </c>
      <c r="D723">
        <v>506.90699999999998</v>
      </c>
      <c r="E723">
        <v>345.71</v>
      </c>
      <c r="F723">
        <v>2.327</v>
      </c>
      <c r="G723">
        <v>74.147000000000006</v>
      </c>
      <c r="H723">
        <v>72.792000000000002</v>
      </c>
      <c r="I723">
        <v>4.8490000000000002</v>
      </c>
      <c r="J723">
        <v>7.0039999999999996</v>
      </c>
      <c r="K723">
        <v>52542.559000000001</v>
      </c>
      <c r="L723">
        <v>21.318000000000001</v>
      </c>
      <c r="N723">
        <v>284.24615999999997</v>
      </c>
      <c r="O723">
        <v>351.97109999999992</v>
      </c>
      <c r="P723">
        <v>895.50543599999992</v>
      </c>
      <c r="Q723">
        <v>710.45127999999988</v>
      </c>
      <c r="R723">
        <f t="shared" si="84"/>
        <v>1.6786547856407155</v>
      </c>
      <c r="S723">
        <v>1.627075469086009</v>
      </c>
      <c r="T723">
        <v>67.724939999999947</v>
      </c>
      <c r="U723">
        <v>185.05415600000003</v>
      </c>
      <c r="V723">
        <v>543.53433599999994</v>
      </c>
      <c r="W723">
        <v>0.21586348502553498</v>
      </c>
      <c r="AE723">
        <f t="shared" si="85"/>
        <v>1.2609341877634561</v>
      </c>
    </row>
    <row r="724" spans="1:31" x14ac:dyDescent="0.25">
      <c r="A724">
        <v>743.86500000000001</v>
      </c>
      <c r="B724">
        <v>9.66</v>
      </c>
      <c r="C724">
        <v>77.078000000000003</v>
      </c>
      <c r="D724">
        <v>507.21800000000002</v>
      </c>
      <c r="E724">
        <v>345.49799999999999</v>
      </c>
      <c r="F724">
        <v>2.34</v>
      </c>
      <c r="G724">
        <v>74.331999999999994</v>
      </c>
      <c r="H724">
        <v>72.88</v>
      </c>
      <c r="I724">
        <v>5.0339999999999998</v>
      </c>
      <c r="J724">
        <v>6.625</v>
      </c>
      <c r="K724">
        <v>52530.750999999997</v>
      </c>
      <c r="L724">
        <v>20.884</v>
      </c>
      <c r="N724">
        <v>284.22404999999998</v>
      </c>
      <c r="O724">
        <v>351.97913999999992</v>
      </c>
      <c r="P724">
        <v>895.86246399999982</v>
      </c>
      <c r="Q724">
        <v>710.20790399999987</v>
      </c>
      <c r="R724">
        <f t="shared" si="84"/>
        <v>1.6801965230536657</v>
      </c>
      <c r="S724">
        <v>1.625112867857077</v>
      </c>
      <c r="T724">
        <v>67.755089999999939</v>
      </c>
      <c r="U724">
        <v>185.65455999999995</v>
      </c>
      <c r="V724">
        <v>543.8833239999999</v>
      </c>
      <c r="W724">
        <v>0.21677346003717524</v>
      </c>
      <c r="AE724">
        <f t="shared" si="85"/>
        <v>1.2609341877634561</v>
      </c>
    </row>
    <row r="725" spans="1:31" x14ac:dyDescent="0.25">
      <c r="A725">
        <v>744.86500000000001</v>
      </c>
      <c r="B725">
        <v>9.5470000000000006</v>
      </c>
      <c r="C725">
        <v>77.007999999999996</v>
      </c>
      <c r="D725">
        <v>506.97399999999999</v>
      </c>
      <c r="E725">
        <v>345.80200000000002</v>
      </c>
      <c r="F725">
        <v>2.3069999999999999</v>
      </c>
      <c r="G725">
        <v>74.671999999999997</v>
      </c>
      <c r="H725">
        <v>73.090999999999994</v>
      </c>
      <c r="I725">
        <v>4.8250000000000002</v>
      </c>
      <c r="J725">
        <v>7.827</v>
      </c>
      <c r="K725">
        <v>52534.52</v>
      </c>
      <c r="L725">
        <v>21.724</v>
      </c>
      <c r="N725">
        <v>284.11048499999998</v>
      </c>
      <c r="O725">
        <v>351.9087899999999</v>
      </c>
      <c r="P725">
        <v>895.5823519999999</v>
      </c>
      <c r="Q725">
        <v>710.55689599999994</v>
      </c>
      <c r="R725">
        <f t="shared" si="84"/>
        <v>1.6839339552203541</v>
      </c>
      <c r="S725">
        <v>1.630196168936072</v>
      </c>
      <c r="T725">
        <v>67.798304999999914</v>
      </c>
      <c r="U725">
        <v>185.02545599999996</v>
      </c>
      <c r="V725">
        <v>543.67356199999995</v>
      </c>
      <c r="W725">
        <v>0.21562047374302903</v>
      </c>
      <c r="AE725">
        <f t="shared" si="85"/>
        <v>1.2609341877634561</v>
      </c>
    </row>
    <row r="726" spans="1:31" x14ac:dyDescent="0.25">
      <c r="A726">
        <v>745.86500000000001</v>
      </c>
      <c r="B726">
        <v>9.3659999999999997</v>
      </c>
      <c r="C726">
        <v>76.936999999999998</v>
      </c>
      <c r="D726">
        <v>510.77199999999999</v>
      </c>
      <c r="E726">
        <v>345.64600000000002</v>
      </c>
      <c r="F726">
        <v>2.5419999999999998</v>
      </c>
      <c r="G726">
        <v>53.654000000000003</v>
      </c>
      <c r="H726">
        <v>51.360999999999997</v>
      </c>
      <c r="I726">
        <v>5.6749999999999998</v>
      </c>
      <c r="J726">
        <v>7.9880000000000004</v>
      </c>
      <c r="K726">
        <v>52525.673000000003</v>
      </c>
      <c r="L726">
        <v>16.167000000000002</v>
      </c>
      <c r="N726">
        <v>283.92857999999995</v>
      </c>
      <c r="O726">
        <v>351.83743499999997</v>
      </c>
      <c r="P726">
        <v>899.94245599999999</v>
      </c>
      <c r="Q726">
        <v>710.37780799999996</v>
      </c>
      <c r="R726">
        <f t="shared" si="84"/>
        <v>1.4819976990249146</v>
      </c>
      <c r="S726">
        <v>1.4184657659720632</v>
      </c>
      <c r="T726">
        <v>67.908855000000017</v>
      </c>
      <c r="U726">
        <v>189.56464800000003</v>
      </c>
      <c r="V726">
        <v>548.10502100000008</v>
      </c>
      <c r="W726">
        <v>0.22195708548344059</v>
      </c>
      <c r="AE726">
        <f t="shared" si="85"/>
        <v>1.2609341877634561</v>
      </c>
    </row>
    <row r="727" spans="1:31" x14ac:dyDescent="0.25">
      <c r="A727">
        <v>746.86500000000001</v>
      </c>
      <c r="B727">
        <v>9.2349999999999994</v>
      </c>
      <c r="C727">
        <v>75.168000000000006</v>
      </c>
      <c r="D727">
        <v>482.81799999999998</v>
      </c>
      <c r="E727">
        <v>341.51100000000002</v>
      </c>
      <c r="F727">
        <v>1.272</v>
      </c>
      <c r="G727">
        <v>25.931999999999999</v>
      </c>
      <c r="H727">
        <v>25.341000000000001</v>
      </c>
      <c r="I727">
        <v>2.8730000000000002</v>
      </c>
      <c r="J727">
        <v>-0.21</v>
      </c>
      <c r="K727">
        <v>50425.03</v>
      </c>
      <c r="L727">
        <v>7.2809999999999997</v>
      </c>
      <c r="N727">
        <v>283.79692499999999</v>
      </c>
      <c r="O727">
        <v>350.05958999999996</v>
      </c>
      <c r="P727">
        <v>867.8512639999999</v>
      </c>
      <c r="Q727">
        <v>705.63082800000007</v>
      </c>
      <c r="R727">
        <f t="shared" si="84"/>
        <v>1.2353682281525598</v>
      </c>
      <c r="S727">
        <v>1.2112190123433579</v>
      </c>
      <c r="T727">
        <v>66.26266499999997</v>
      </c>
      <c r="U727">
        <v>162.22043599999984</v>
      </c>
      <c r="V727">
        <v>517.79167399999994</v>
      </c>
      <c r="W727">
        <v>0.18532119348060408</v>
      </c>
      <c r="AE727">
        <f t="shared" si="85"/>
        <v>1.2609341877634561</v>
      </c>
    </row>
    <row r="728" spans="1:31" x14ac:dyDescent="0.25">
      <c r="A728">
        <v>747.86599999999999</v>
      </c>
      <c r="B728">
        <v>9.1839999999999993</v>
      </c>
      <c r="C728">
        <v>70.56</v>
      </c>
      <c r="D728">
        <v>439.18200000000002</v>
      </c>
      <c r="E728">
        <v>336.32799999999997</v>
      </c>
      <c r="F728">
        <v>0.76900000000000002</v>
      </c>
      <c r="G728">
        <v>15.250999999999999</v>
      </c>
      <c r="H728">
        <v>15.03</v>
      </c>
      <c r="I728">
        <v>1.548</v>
      </c>
      <c r="J728">
        <v>-0.21099999999999999</v>
      </c>
      <c r="K728">
        <v>43840.788</v>
      </c>
      <c r="L728">
        <v>4.0010000000000003</v>
      </c>
      <c r="N728">
        <v>283.74566999999996</v>
      </c>
      <c r="O728">
        <v>345.42854999999992</v>
      </c>
      <c r="P728">
        <v>817.75713599999995</v>
      </c>
      <c r="Q728">
        <v>699.68074399999989</v>
      </c>
      <c r="R728">
        <f t="shared" si="84"/>
        <v>1.138890753723542</v>
      </c>
      <c r="S728">
        <v>1.1283413296778615</v>
      </c>
      <c r="T728">
        <v>61.682879999999955</v>
      </c>
      <c r="U728">
        <v>118.07639200000006</v>
      </c>
      <c r="V728">
        <v>472.32858600000003</v>
      </c>
      <c r="W728">
        <v>0.11939466225743131</v>
      </c>
      <c r="AE728">
        <f t="shared" si="85"/>
        <v>1.2609341877634561</v>
      </c>
    </row>
    <row r="729" spans="1:31" x14ac:dyDescent="0.25">
      <c r="A729">
        <v>748.86500000000001</v>
      </c>
      <c r="B729">
        <v>9.2260000000000009</v>
      </c>
      <c r="C729">
        <v>66.088999999999999</v>
      </c>
      <c r="D729">
        <v>401.75</v>
      </c>
      <c r="E729">
        <v>330.10899999999998</v>
      </c>
      <c r="F729">
        <v>0.502</v>
      </c>
      <c r="G729">
        <v>9.9469999999999992</v>
      </c>
      <c r="H729">
        <v>9.7590000000000003</v>
      </c>
      <c r="I729">
        <v>0.98899999999999999</v>
      </c>
      <c r="J729">
        <v>-0.21099999999999999</v>
      </c>
      <c r="K729">
        <v>36835.008000000002</v>
      </c>
      <c r="L729">
        <v>2.0270000000000001</v>
      </c>
      <c r="N729">
        <v>283.78787999999997</v>
      </c>
      <c r="O729">
        <v>340.93519499999996</v>
      </c>
      <c r="P729">
        <v>774.78519999999992</v>
      </c>
      <c r="Q729">
        <v>692.54133200000001</v>
      </c>
      <c r="R729">
        <f t="shared" si="84"/>
        <v>1.090815561239207</v>
      </c>
      <c r="S729">
        <v>1.0839322799529136</v>
      </c>
      <c r="T729">
        <v>57.147314999999992</v>
      </c>
      <c r="U729">
        <v>82.243867999999907</v>
      </c>
      <c r="V729">
        <v>433.85000499999995</v>
      </c>
      <c r="W729">
        <v>5.784615122915561E-2</v>
      </c>
      <c r="AE729">
        <f t="shared" si="85"/>
        <v>1.2609341877634561</v>
      </c>
    </row>
    <row r="730" spans="1:31" x14ac:dyDescent="0.25">
      <c r="A730">
        <v>749.86500000000001</v>
      </c>
      <c r="B730">
        <v>9.4019999999999992</v>
      </c>
      <c r="C730">
        <v>62.832000000000001</v>
      </c>
      <c r="D730">
        <v>369.93200000000002</v>
      </c>
      <c r="E730">
        <v>323.714</v>
      </c>
      <c r="F730">
        <v>0.373</v>
      </c>
      <c r="G730">
        <v>6.9429999999999996</v>
      </c>
      <c r="H730">
        <v>6.7830000000000004</v>
      </c>
      <c r="I730">
        <v>0.61299999999999999</v>
      </c>
      <c r="J730">
        <v>-0.21099999999999999</v>
      </c>
      <c r="K730">
        <v>30726.345000000001</v>
      </c>
      <c r="L730">
        <v>0.57899999999999996</v>
      </c>
      <c r="N730">
        <v>283.96475999999996</v>
      </c>
      <c r="O730">
        <v>337.66190999999992</v>
      </c>
      <c r="P730">
        <v>738.25813599999992</v>
      </c>
      <c r="Q730">
        <v>685.19987200000003</v>
      </c>
      <c r="R730">
        <f t="shared" si="84"/>
        <v>1.0632503152888624</v>
      </c>
      <c r="S730">
        <v>1.0592625320565154</v>
      </c>
      <c r="T730">
        <v>53.697149999999965</v>
      </c>
      <c r="U730">
        <v>53.058263999999895</v>
      </c>
      <c r="V730">
        <v>400.596226</v>
      </c>
      <c r="W730">
        <v>-1.5948377906088173E-3</v>
      </c>
      <c r="AE730">
        <f t="shared" si="85"/>
        <v>1.2609341877634561</v>
      </c>
    </row>
    <row r="731" spans="1:31" x14ac:dyDescent="0.25">
      <c r="A731">
        <v>750.86500000000001</v>
      </c>
      <c r="B731">
        <v>9.5109999999999992</v>
      </c>
      <c r="C731">
        <v>60.53</v>
      </c>
      <c r="D731">
        <v>343.93299999999999</v>
      </c>
      <c r="E731">
        <v>318.435</v>
      </c>
      <c r="F731">
        <v>0.28199999999999997</v>
      </c>
      <c r="G731">
        <v>5.0919999999999996</v>
      </c>
      <c r="H731">
        <v>4.9400000000000004</v>
      </c>
      <c r="I731">
        <v>0.432</v>
      </c>
      <c r="J731">
        <v>-0.21099999999999999</v>
      </c>
      <c r="K731">
        <v>25749.366999999998</v>
      </c>
      <c r="L731">
        <v>-0.71599999999999997</v>
      </c>
      <c r="N731">
        <v>284.07430499999998</v>
      </c>
      <c r="O731">
        <v>335.34839999999991</v>
      </c>
      <c r="P731">
        <v>708.41128399999991</v>
      </c>
      <c r="Q731">
        <v>679.13958000000002</v>
      </c>
      <c r="R731">
        <f t="shared" si="84"/>
        <v>1.0463471507583204</v>
      </c>
      <c r="S731">
        <v>1.0433745141053765</v>
      </c>
      <c r="T731">
        <v>51.274094999999932</v>
      </c>
      <c r="U731">
        <v>29.271703999999886</v>
      </c>
      <c r="V731">
        <v>373.062884</v>
      </c>
      <c r="W731">
        <v>-5.897770039219459E-2</v>
      </c>
      <c r="AE731">
        <f t="shared" si="85"/>
        <v>1.2609341877634561</v>
      </c>
    </row>
    <row r="732" spans="1:31" x14ac:dyDescent="0.25">
      <c r="A732">
        <v>751.86500000000001</v>
      </c>
      <c r="B732">
        <v>9.6790000000000003</v>
      </c>
      <c r="C732">
        <v>58.944000000000003</v>
      </c>
      <c r="D732">
        <v>321.11500000000001</v>
      </c>
      <c r="E732">
        <v>313.27600000000001</v>
      </c>
      <c r="F732">
        <v>0.22</v>
      </c>
      <c r="G732">
        <v>3.8109999999999999</v>
      </c>
      <c r="H732">
        <v>3.6680000000000001</v>
      </c>
      <c r="I732">
        <v>0.312</v>
      </c>
      <c r="J732">
        <v>-0.21099999999999999</v>
      </c>
      <c r="K732">
        <v>21809.725999999999</v>
      </c>
      <c r="L732">
        <v>-0.496</v>
      </c>
      <c r="N732">
        <v>284.24314499999991</v>
      </c>
      <c r="O732">
        <v>333.75446999999997</v>
      </c>
      <c r="P732">
        <v>682.21621999999991</v>
      </c>
      <c r="Q732">
        <v>673.21704799999986</v>
      </c>
      <c r="R732">
        <f t="shared" si="84"/>
        <v>1.0346220593906672</v>
      </c>
      <c r="S732">
        <v>1.0323276692482566</v>
      </c>
      <c r="T732">
        <v>49.511325000000056</v>
      </c>
      <c r="U732">
        <v>8.9991720000000441</v>
      </c>
      <c r="V732">
        <v>348.46174999999994</v>
      </c>
      <c r="W732">
        <v>-0.11625997114460919</v>
      </c>
      <c r="AE732">
        <f t="shared" si="85"/>
        <v>1.2609341877634561</v>
      </c>
    </row>
    <row r="733" spans="1:31" x14ac:dyDescent="0.25">
      <c r="A733">
        <v>752.86500000000001</v>
      </c>
      <c r="B733">
        <v>9.8330000000000002</v>
      </c>
      <c r="C733">
        <v>57.716000000000001</v>
      </c>
      <c r="D733">
        <v>301.99900000000002</v>
      </c>
      <c r="E733">
        <v>308.041</v>
      </c>
      <c r="F733">
        <v>0.18</v>
      </c>
      <c r="G733">
        <v>2.9630000000000001</v>
      </c>
      <c r="H733">
        <v>2.8130000000000002</v>
      </c>
      <c r="I733">
        <v>0.19700000000000001</v>
      </c>
      <c r="J733">
        <v>-2.1999999999999999E-2</v>
      </c>
      <c r="K733">
        <v>18702.04</v>
      </c>
      <c r="L733">
        <v>-1.8180000000000001</v>
      </c>
      <c r="N733">
        <v>284.39791499999995</v>
      </c>
      <c r="O733">
        <v>332.52032999999994</v>
      </c>
      <c r="P733">
        <v>660.27105199999994</v>
      </c>
      <c r="Q733">
        <v>667.207268</v>
      </c>
      <c r="R733">
        <f t="shared" si="84"/>
        <v>1.0268422067901233</v>
      </c>
      <c r="S733">
        <v>1.0252273450533766</v>
      </c>
      <c r="T733">
        <v>48.12241499999999</v>
      </c>
      <c r="U733">
        <v>-6.9362160000000586</v>
      </c>
      <c r="V733">
        <v>327.750722</v>
      </c>
      <c r="W733">
        <v>-0.16798935076030144</v>
      </c>
      <c r="AE733">
        <f t="shared" si="85"/>
        <v>1.2609341877634561</v>
      </c>
    </row>
    <row r="734" spans="1:31" x14ac:dyDescent="0.25">
      <c r="A734">
        <v>753.86500000000001</v>
      </c>
      <c r="B734">
        <v>9.9809999999999999</v>
      </c>
      <c r="C734">
        <v>56.893000000000001</v>
      </c>
      <c r="D734">
        <v>284.45499999999998</v>
      </c>
      <c r="E734">
        <v>302.87200000000001</v>
      </c>
      <c r="F734">
        <v>0.153</v>
      </c>
      <c r="G734">
        <v>2.3140000000000001</v>
      </c>
      <c r="H734">
        <v>2.21</v>
      </c>
      <c r="I734">
        <v>0.14199999999999999</v>
      </c>
      <c r="J734">
        <v>0</v>
      </c>
      <c r="K734">
        <v>16591.72</v>
      </c>
      <c r="L734">
        <v>-2.3119999999999998</v>
      </c>
      <c r="N734">
        <v>284.54665499999993</v>
      </c>
      <c r="O734">
        <v>331.69321499999995</v>
      </c>
      <c r="P734">
        <v>640.13054</v>
      </c>
      <c r="Q734">
        <v>661.27325599999983</v>
      </c>
      <c r="R734">
        <f t="shared" si="84"/>
        <v>1.0208484076678919</v>
      </c>
      <c r="S734">
        <v>1.0199533007853958</v>
      </c>
      <c r="T734">
        <v>47.146560000000022</v>
      </c>
      <c r="U734">
        <v>-21.142715999999837</v>
      </c>
      <c r="V734">
        <v>308.43732500000004</v>
      </c>
      <c r="W734">
        <v>-0.22140405996582888</v>
      </c>
      <c r="AE734">
        <f t="shared" si="85"/>
        <v>1.2609341877634561</v>
      </c>
    </row>
    <row r="735" spans="1:31" x14ac:dyDescent="0.25">
      <c r="A735">
        <v>754.86500000000001</v>
      </c>
      <c r="B735">
        <v>10.073</v>
      </c>
      <c r="C735">
        <v>56.271999999999998</v>
      </c>
      <c r="D735">
        <v>269.54000000000002</v>
      </c>
      <c r="E735">
        <v>298.72399999999999</v>
      </c>
      <c r="F735">
        <v>0.13100000000000001</v>
      </c>
      <c r="G735">
        <v>1.8460000000000001</v>
      </c>
      <c r="H735">
        <v>1.732</v>
      </c>
      <c r="I735">
        <v>8.7999999999999995E-2</v>
      </c>
      <c r="J735">
        <v>0</v>
      </c>
      <c r="K735">
        <v>15028.945</v>
      </c>
      <c r="L735">
        <v>-1.9219999999999999</v>
      </c>
      <c r="N735">
        <v>284.63911499999995</v>
      </c>
      <c r="O735">
        <v>331.06910999999991</v>
      </c>
      <c r="P735">
        <v>623.00811999999996</v>
      </c>
      <c r="Q735">
        <v>656.51135199999999</v>
      </c>
      <c r="R735">
        <f t="shared" si="84"/>
        <v>1.0165491021026527</v>
      </c>
      <c r="S735">
        <v>1.0158705641580106</v>
      </c>
      <c r="T735">
        <v>46.429994999999963</v>
      </c>
      <c r="U735">
        <v>-33.503232000000025</v>
      </c>
      <c r="V735">
        <v>291.93901000000005</v>
      </c>
      <c r="W735">
        <v>-0.27380111688396824</v>
      </c>
      <c r="AE735">
        <f t="shared" si="85"/>
        <v>1.2609341877634561</v>
      </c>
    </row>
    <row r="736" spans="1:31" x14ac:dyDescent="0.25">
      <c r="A736">
        <v>755.86500000000001</v>
      </c>
      <c r="B736">
        <v>10.234</v>
      </c>
      <c r="C736">
        <v>55.761000000000003</v>
      </c>
      <c r="D736">
        <v>256.517</v>
      </c>
      <c r="E736">
        <v>293.73200000000003</v>
      </c>
      <c r="F736">
        <v>0.11</v>
      </c>
      <c r="G736">
        <v>1.4870000000000001</v>
      </c>
      <c r="H736">
        <v>1.3839999999999999</v>
      </c>
      <c r="I736">
        <v>5.7000000000000002E-2</v>
      </c>
      <c r="J736">
        <v>0</v>
      </c>
      <c r="K736">
        <v>13450.949000000001</v>
      </c>
      <c r="L736">
        <v>-1.879</v>
      </c>
      <c r="N736">
        <v>284.80091999999991</v>
      </c>
      <c r="O736">
        <v>330.55555499999997</v>
      </c>
      <c r="P736">
        <v>608.0577159999998</v>
      </c>
      <c r="Q736">
        <v>650.78053599999998</v>
      </c>
      <c r="R736">
        <f t="shared" si="84"/>
        <v>1.0132902229514524</v>
      </c>
      <c r="S736">
        <v>1.012814198943577</v>
      </c>
      <c r="T736">
        <v>45.754635000000064</v>
      </c>
      <c r="U736">
        <v>-42.722820000000183</v>
      </c>
      <c r="V736">
        <v>277.50216099999983</v>
      </c>
      <c r="W736">
        <v>-0.31883519278251782</v>
      </c>
      <c r="AE736">
        <f t="shared" si="85"/>
        <v>1.2609341877634561</v>
      </c>
    </row>
    <row r="737" spans="1:31" x14ac:dyDescent="0.25">
      <c r="A737">
        <v>756.86500000000001</v>
      </c>
      <c r="B737">
        <v>10.269</v>
      </c>
      <c r="C737">
        <v>55.368000000000002</v>
      </c>
      <c r="D737">
        <v>244.53</v>
      </c>
      <c r="E737">
        <v>289.81900000000002</v>
      </c>
      <c r="F737">
        <v>9.7000000000000003E-2</v>
      </c>
      <c r="G737">
        <v>1.2070000000000001</v>
      </c>
      <c r="H737">
        <v>1.1080000000000001</v>
      </c>
      <c r="I737">
        <v>3.2000000000000001E-2</v>
      </c>
      <c r="J737">
        <v>0</v>
      </c>
      <c r="K737">
        <v>12025.725</v>
      </c>
      <c r="L737">
        <v>-2.2679999999999998</v>
      </c>
      <c r="N737">
        <v>284.83609499999994</v>
      </c>
      <c r="O737">
        <v>330.16058999999996</v>
      </c>
      <c r="P737">
        <v>594.29663999999991</v>
      </c>
      <c r="Q737">
        <v>646.28841199999999</v>
      </c>
      <c r="R737">
        <f t="shared" si="84"/>
        <v>1.0107145959825092</v>
      </c>
      <c r="S737">
        <v>1.010392921995132</v>
      </c>
      <c r="T737">
        <v>45.324495000000013</v>
      </c>
      <c r="U737">
        <v>-51.991772000000083</v>
      </c>
      <c r="V737">
        <v>264.13604999999995</v>
      </c>
      <c r="W737">
        <v>-0.36843235521997136</v>
      </c>
      <c r="AE737">
        <f t="shared" si="85"/>
        <v>1.2609341877634561</v>
      </c>
    </row>
    <row r="738" spans="1:31" x14ac:dyDescent="0.25">
      <c r="A738">
        <v>757.86500000000001</v>
      </c>
      <c r="B738">
        <v>10.317</v>
      </c>
      <c r="C738">
        <v>55.030999999999999</v>
      </c>
      <c r="D738">
        <v>234.28800000000001</v>
      </c>
      <c r="E738">
        <v>285.98500000000001</v>
      </c>
      <c r="F738">
        <v>8.5000000000000006E-2</v>
      </c>
      <c r="G738">
        <v>0.98799999999999999</v>
      </c>
      <c r="H738">
        <v>0.89500000000000002</v>
      </c>
      <c r="I738">
        <v>1.2999999999999999E-2</v>
      </c>
      <c r="J738">
        <v>0</v>
      </c>
      <c r="K738">
        <v>10855.141</v>
      </c>
      <c r="L738">
        <v>-2.339</v>
      </c>
      <c r="N738">
        <v>284.88433499999996</v>
      </c>
      <c r="O738">
        <v>329.82190499999996</v>
      </c>
      <c r="P738">
        <v>582.53882399999998</v>
      </c>
      <c r="Q738">
        <v>641.88697999999999</v>
      </c>
      <c r="R738">
        <f t="shared" si="84"/>
        <v>1.0087174783993822</v>
      </c>
      <c r="S738">
        <v>1.0085206689014905</v>
      </c>
      <c r="T738">
        <v>44.937569999999994</v>
      </c>
      <c r="U738">
        <v>-59.348156000000017</v>
      </c>
      <c r="V738">
        <v>252.71691900000002</v>
      </c>
      <c r="W738">
        <v>-0.41265826764847513</v>
      </c>
      <c r="AE738">
        <f t="shared" si="85"/>
        <v>1.2609341877634561</v>
      </c>
    </row>
    <row r="739" spans="1:31" x14ac:dyDescent="0.25">
      <c r="A739">
        <v>758.86599999999999</v>
      </c>
      <c r="B739">
        <v>10.475</v>
      </c>
      <c r="C739">
        <v>54.715000000000003</v>
      </c>
      <c r="D739">
        <v>224.85900000000001</v>
      </c>
      <c r="E739">
        <v>282.18900000000002</v>
      </c>
      <c r="F739">
        <v>7.9000000000000001E-2</v>
      </c>
      <c r="G739">
        <v>0.81599999999999995</v>
      </c>
      <c r="H739">
        <v>0.71899999999999997</v>
      </c>
      <c r="I739">
        <v>8.9999999999999993E-3</v>
      </c>
      <c r="J739">
        <v>0</v>
      </c>
      <c r="K739">
        <v>9886.8889999999992</v>
      </c>
      <c r="L739">
        <v>-2.2240000000000002</v>
      </c>
      <c r="N739">
        <v>285.04312499999997</v>
      </c>
      <c r="O739">
        <v>329.50432499999999</v>
      </c>
      <c r="P739">
        <v>571.71433200000001</v>
      </c>
      <c r="Q739">
        <v>637.5291719999999</v>
      </c>
      <c r="R739">
        <f t="shared" si="84"/>
        <v>1.0071153419129362</v>
      </c>
      <c r="S739">
        <v>1.0068593069201712</v>
      </c>
      <c r="T739">
        <v>44.461200000000019</v>
      </c>
      <c r="U739">
        <v>-65.81483999999989</v>
      </c>
      <c r="V739">
        <v>242.21000700000002</v>
      </c>
      <c r="W739">
        <v>-0.45529101528823251</v>
      </c>
      <c r="AE739">
        <f t="shared" si="85"/>
        <v>1.2609341877634561</v>
      </c>
    </row>
    <row r="740" spans="1:31" x14ac:dyDescent="0.25">
      <c r="A740">
        <v>759.86699999999996</v>
      </c>
      <c r="B740">
        <v>10.558</v>
      </c>
      <c r="C740">
        <v>54.387</v>
      </c>
      <c r="D740">
        <v>215.761</v>
      </c>
      <c r="E740">
        <v>278.10000000000002</v>
      </c>
      <c r="F740">
        <v>7.0999999999999994E-2</v>
      </c>
      <c r="G740">
        <v>0.66</v>
      </c>
      <c r="H740">
        <v>0.57799999999999996</v>
      </c>
      <c r="I740">
        <v>-8.0000000000000002E-3</v>
      </c>
      <c r="J740">
        <v>0</v>
      </c>
      <c r="K740">
        <v>9061.0490000000009</v>
      </c>
      <c r="L740">
        <v>-2.0539999999999998</v>
      </c>
      <c r="N740">
        <v>285.12653999999992</v>
      </c>
      <c r="O740">
        <v>329.17468499999995</v>
      </c>
      <c r="P740">
        <v>561.26982799999985</v>
      </c>
      <c r="Q740">
        <v>632.83499999999992</v>
      </c>
      <c r="R740">
        <f t="shared" si="84"/>
        <v>1.0056869200838072</v>
      </c>
      <c r="S740">
        <v>1.0056622734124376</v>
      </c>
      <c r="T740">
        <v>44.048145000000034</v>
      </c>
      <c r="U740">
        <v>-71.565172000000075</v>
      </c>
      <c r="V740">
        <v>232.09514299999989</v>
      </c>
      <c r="W740">
        <v>-0.49812898066548578</v>
      </c>
      <c r="AE740">
        <f t="shared" si="85"/>
        <v>1.2609341877634561</v>
      </c>
    </row>
    <row r="741" spans="1:31" x14ac:dyDescent="0.25">
      <c r="A741">
        <v>760.86699999999996</v>
      </c>
      <c r="B741">
        <v>10.593</v>
      </c>
      <c r="C741">
        <v>54.192</v>
      </c>
      <c r="D741">
        <v>207.739</v>
      </c>
      <c r="E741">
        <v>275.11700000000002</v>
      </c>
      <c r="F741">
        <v>6.6000000000000003E-2</v>
      </c>
      <c r="G741">
        <v>0.54500000000000004</v>
      </c>
      <c r="H741">
        <v>0.46899999999999997</v>
      </c>
      <c r="I741">
        <v>-1.7999999999999999E-2</v>
      </c>
      <c r="J741">
        <v>0</v>
      </c>
      <c r="K741">
        <v>8349.3629999999994</v>
      </c>
      <c r="L741">
        <v>-2.411</v>
      </c>
      <c r="N741">
        <v>285.16171499999996</v>
      </c>
      <c r="O741">
        <v>328.97870999999992</v>
      </c>
      <c r="P741">
        <v>552.06057199999998</v>
      </c>
      <c r="Q741">
        <v>629.41051600000003</v>
      </c>
      <c r="R741">
        <f t="shared" si="84"/>
        <v>1.0046250700036692</v>
      </c>
      <c r="S741">
        <v>1.0047061324674822</v>
      </c>
      <c r="T741">
        <v>43.816994999999963</v>
      </c>
      <c r="U741">
        <v>-77.34994400000005</v>
      </c>
      <c r="V741">
        <v>223.08186200000006</v>
      </c>
      <c r="W741">
        <v>-0.54315011500128141</v>
      </c>
      <c r="AE741">
        <f t="shared" si="85"/>
        <v>1.2609341877634561</v>
      </c>
    </row>
    <row r="742" spans="1:31" x14ac:dyDescent="0.25">
      <c r="A742">
        <v>761.86699999999996</v>
      </c>
      <c r="B742">
        <v>10.69</v>
      </c>
      <c r="C742">
        <v>53.97</v>
      </c>
      <c r="D742">
        <v>200.64099999999999</v>
      </c>
      <c r="E742">
        <v>271.923</v>
      </c>
      <c r="F742">
        <v>6.2E-2</v>
      </c>
      <c r="G742">
        <v>0.438</v>
      </c>
      <c r="H742">
        <v>0.35599999999999998</v>
      </c>
      <c r="I742">
        <v>-0.02</v>
      </c>
      <c r="J742">
        <v>0</v>
      </c>
      <c r="K742">
        <v>7736.3360000000002</v>
      </c>
      <c r="L742">
        <v>-2.6520000000000001</v>
      </c>
      <c r="N742">
        <v>285.25919999999996</v>
      </c>
      <c r="O742">
        <v>328.75559999999996</v>
      </c>
      <c r="P742">
        <v>543.91206799999986</v>
      </c>
      <c r="Q742">
        <v>625.74380399999995</v>
      </c>
      <c r="R742">
        <f t="shared" si="84"/>
        <v>1.0036306753442383</v>
      </c>
      <c r="S742">
        <v>1.0036335523772708</v>
      </c>
      <c r="T742">
        <v>43.496399999999994</v>
      </c>
      <c r="U742">
        <v>-81.831736000000092</v>
      </c>
      <c r="V742">
        <v>215.1564679999999</v>
      </c>
      <c r="W742">
        <v>-0.5824976453880073</v>
      </c>
      <c r="AE742">
        <f t="shared" si="85"/>
        <v>1.2609341877634561</v>
      </c>
    </row>
    <row r="743" spans="1:31" x14ac:dyDescent="0.25">
      <c r="A743">
        <v>762.86800000000005</v>
      </c>
      <c r="B743">
        <v>10.782</v>
      </c>
      <c r="C743">
        <v>53.813000000000002</v>
      </c>
      <c r="D743">
        <v>193.71299999999999</v>
      </c>
      <c r="E743">
        <v>268.93400000000003</v>
      </c>
      <c r="F743">
        <v>5.7000000000000002E-2</v>
      </c>
      <c r="G743">
        <v>0.35399999999999998</v>
      </c>
      <c r="H743">
        <v>0.27300000000000002</v>
      </c>
      <c r="I743">
        <v>-2.5000000000000001E-2</v>
      </c>
      <c r="J743">
        <v>0</v>
      </c>
      <c r="K743">
        <v>7287.5069999999996</v>
      </c>
      <c r="L743">
        <v>-3.0630000000000002</v>
      </c>
      <c r="N743">
        <v>285.35165999999992</v>
      </c>
      <c r="O743">
        <v>328.59781499999991</v>
      </c>
      <c r="P743">
        <v>535.95872399999985</v>
      </c>
      <c r="Q743">
        <v>622.31243200000006</v>
      </c>
      <c r="R743">
        <f t="shared" si="84"/>
        <v>1.00286798574698</v>
      </c>
      <c r="S743">
        <v>1.0028799226866394</v>
      </c>
      <c r="T743">
        <v>43.246154999999987</v>
      </c>
      <c r="U743">
        <v>-86.353708000000211</v>
      </c>
      <c r="V743">
        <v>207.36090899999994</v>
      </c>
      <c r="W743">
        <v>-0.62499659952783215</v>
      </c>
      <c r="AE743">
        <f t="shared" si="85"/>
        <v>1.2609341877634561</v>
      </c>
    </row>
    <row r="744" spans="1:31" x14ac:dyDescent="0.25">
      <c r="A744">
        <v>763.86800000000005</v>
      </c>
      <c r="B744">
        <v>10.907</v>
      </c>
      <c r="C744">
        <v>53.686</v>
      </c>
      <c r="D744">
        <v>188.19900000000001</v>
      </c>
      <c r="E744">
        <v>265.697</v>
      </c>
      <c r="F744">
        <v>5.3999999999999999E-2</v>
      </c>
      <c r="G744">
        <v>0.29799999999999999</v>
      </c>
      <c r="H744">
        <v>0.219</v>
      </c>
      <c r="I744">
        <v>-2.7E-2</v>
      </c>
      <c r="J744">
        <v>0</v>
      </c>
      <c r="K744">
        <v>6945.8459999999995</v>
      </c>
      <c r="L744">
        <v>-3.1240000000000001</v>
      </c>
      <c r="N744">
        <v>285.47728499999994</v>
      </c>
      <c r="O744">
        <v>328.47017999999991</v>
      </c>
      <c r="P744">
        <v>529.62865199999999</v>
      </c>
      <c r="Q744">
        <v>618.5963559999999</v>
      </c>
      <c r="R744">
        <f t="shared" si="84"/>
        <v>1.0023562585704078</v>
      </c>
      <c r="S744">
        <v>1.0023774317938012</v>
      </c>
      <c r="T744">
        <v>42.992894999999976</v>
      </c>
      <c r="U744">
        <v>-88.967703999999912</v>
      </c>
      <c r="V744">
        <v>201.15847200000007</v>
      </c>
      <c r="W744">
        <v>-0.65600318837180194</v>
      </c>
      <c r="AE744">
        <f t="shared" si="85"/>
        <v>1.2609341877634561</v>
      </c>
    </row>
    <row r="745" spans="1:31" x14ac:dyDescent="0.25">
      <c r="A745">
        <v>764.86900000000003</v>
      </c>
      <c r="B745">
        <v>11.082000000000001</v>
      </c>
      <c r="C745">
        <v>53.524000000000001</v>
      </c>
      <c r="D745">
        <v>182.44900000000001</v>
      </c>
      <c r="E745">
        <v>263.17</v>
      </c>
      <c r="F745">
        <v>5.0999999999999997E-2</v>
      </c>
      <c r="G745">
        <v>0.218</v>
      </c>
      <c r="H745">
        <v>0.14599999999999999</v>
      </c>
      <c r="I745">
        <v>-3.9E-2</v>
      </c>
      <c r="J745">
        <v>0</v>
      </c>
      <c r="K745">
        <v>6518.1819999999998</v>
      </c>
      <c r="L745">
        <v>-2.8109999999999999</v>
      </c>
      <c r="N745">
        <v>285.65315999999996</v>
      </c>
      <c r="O745">
        <v>328.30736999999993</v>
      </c>
      <c r="P745">
        <v>523.02765199999999</v>
      </c>
      <c r="Q745">
        <v>615.69535999999982</v>
      </c>
      <c r="R745">
        <f t="shared" si="84"/>
        <v>1.0016127318905661</v>
      </c>
      <c r="S745">
        <v>1.0017881133953856</v>
      </c>
      <c r="T745">
        <v>42.654209999999978</v>
      </c>
      <c r="U745">
        <v>-92.667707999999834</v>
      </c>
      <c r="V745">
        <v>194.72028200000005</v>
      </c>
      <c r="W745">
        <v>-0.69495543355878964</v>
      </c>
      <c r="AE745">
        <f t="shared" si="85"/>
        <v>1.2609341877634561</v>
      </c>
    </row>
    <row r="746" spans="1:31" x14ac:dyDescent="0.25">
      <c r="A746">
        <v>765.86900000000003</v>
      </c>
      <c r="B746">
        <v>11.156000000000001</v>
      </c>
      <c r="C746">
        <v>53.371000000000002</v>
      </c>
      <c r="D746">
        <v>177.398</v>
      </c>
      <c r="E746">
        <v>260.21499999999997</v>
      </c>
      <c r="F746">
        <v>4.9000000000000002E-2</v>
      </c>
      <c r="G746">
        <v>0.17399999999999999</v>
      </c>
      <c r="H746">
        <v>9.7000000000000003E-2</v>
      </c>
      <c r="I746">
        <v>-3.5000000000000003E-2</v>
      </c>
      <c r="J746">
        <v>0</v>
      </c>
      <c r="K746">
        <v>6119.0110000000004</v>
      </c>
      <c r="L746">
        <v>-3.08</v>
      </c>
      <c r="N746">
        <v>285.72752999999994</v>
      </c>
      <c r="O746">
        <v>328.15360499999991</v>
      </c>
      <c r="P746">
        <v>517.22910400000001</v>
      </c>
      <c r="Q746">
        <v>612.30301999999995</v>
      </c>
      <c r="R746">
        <f t="shared" si="84"/>
        <v>1.0012071579638626</v>
      </c>
      <c r="S746">
        <v>1.0012757937466776</v>
      </c>
      <c r="T746">
        <v>42.426074999999969</v>
      </c>
      <c r="U746">
        <v>-95.07391599999994</v>
      </c>
      <c r="V746">
        <v>189.07549900000009</v>
      </c>
      <c r="W746">
        <v>-0.72722267944404495</v>
      </c>
      <c r="AE746">
        <f t="shared" si="85"/>
        <v>1.2609341877634561</v>
      </c>
    </row>
    <row r="747" spans="1:31" x14ac:dyDescent="0.25">
      <c r="A747">
        <v>766.86900000000003</v>
      </c>
      <c r="B747">
        <v>11.304</v>
      </c>
      <c r="C747">
        <v>53.173999999999999</v>
      </c>
      <c r="D747">
        <v>173.108</v>
      </c>
      <c r="E747">
        <v>257.71300000000002</v>
      </c>
      <c r="F747">
        <v>4.7E-2</v>
      </c>
      <c r="G747">
        <v>0.13</v>
      </c>
      <c r="H747">
        <v>4.7E-2</v>
      </c>
      <c r="I747">
        <v>-4.2000000000000003E-2</v>
      </c>
      <c r="J747">
        <v>0</v>
      </c>
      <c r="K747">
        <v>5764.5140000000001</v>
      </c>
      <c r="L747">
        <v>-3.1949999999999998</v>
      </c>
      <c r="N747">
        <v>285.87626999999992</v>
      </c>
      <c r="O747">
        <v>327.9556199999999</v>
      </c>
      <c r="P747">
        <v>512.30418399999996</v>
      </c>
      <c r="Q747">
        <v>609.43072400000005</v>
      </c>
      <c r="R747">
        <f t="shared" si="84"/>
        <v>1.000801568369919</v>
      </c>
      <c r="S747">
        <v>1.0008602524696011</v>
      </c>
      <c r="T747">
        <v>42.079349999999977</v>
      </c>
      <c r="U747">
        <v>-97.126540000000091</v>
      </c>
      <c r="V747">
        <v>184.34856400000007</v>
      </c>
      <c r="W747">
        <v>-0.7551232674641285</v>
      </c>
      <c r="AE747">
        <f t="shared" si="85"/>
        <v>1.2609341877634561</v>
      </c>
    </row>
    <row r="748" spans="1:31" x14ac:dyDescent="0.25">
      <c r="A748">
        <v>767.86900000000003</v>
      </c>
      <c r="B748">
        <v>11.356</v>
      </c>
      <c r="C748">
        <v>53.058</v>
      </c>
      <c r="D748">
        <v>168.61199999999999</v>
      </c>
      <c r="E748">
        <v>255.90199999999999</v>
      </c>
      <c r="F748">
        <v>4.4999999999999998E-2</v>
      </c>
      <c r="G748">
        <v>9.5000000000000001E-2</v>
      </c>
      <c r="H748">
        <v>1.0999999999999999E-2</v>
      </c>
      <c r="I748">
        <v>-4.2999999999999997E-2</v>
      </c>
      <c r="J748">
        <v>0</v>
      </c>
      <c r="K748">
        <v>5439.5129999999999</v>
      </c>
      <c r="L748">
        <v>-3.173</v>
      </c>
      <c r="N748">
        <v>285.92852999999997</v>
      </c>
      <c r="O748">
        <v>327.83903999999995</v>
      </c>
      <c r="P748">
        <v>507.14277599999991</v>
      </c>
      <c r="Q748">
        <v>607.35169599999983</v>
      </c>
      <c r="R748">
        <f t="shared" si="84"/>
        <v>1.0004828818388141</v>
      </c>
      <c r="S748">
        <v>1.0005219559817122</v>
      </c>
      <c r="T748">
        <v>41.910509999999988</v>
      </c>
      <c r="U748">
        <v>-100.20891999999992</v>
      </c>
      <c r="V748">
        <v>179.30373599999996</v>
      </c>
      <c r="W748">
        <v>-0.79261834231942574</v>
      </c>
      <c r="AE748">
        <f t="shared" si="85"/>
        <v>1.2609341877634561</v>
      </c>
    </row>
    <row r="749" spans="1:31" x14ac:dyDescent="0.25">
      <c r="A749">
        <v>768.87</v>
      </c>
      <c r="B749">
        <v>11.436999999999999</v>
      </c>
      <c r="C749">
        <v>52.942</v>
      </c>
      <c r="D749">
        <v>163.90199999999999</v>
      </c>
      <c r="E749">
        <v>253.083</v>
      </c>
      <c r="F749">
        <v>4.2999999999999997E-2</v>
      </c>
      <c r="G749">
        <v>4.8000000000000001E-2</v>
      </c>
      <c r="H749">
        <v>-2.9000000000000001E-2</v>
      </c>
      <c r="I749">
        <v>-3.9E-2</v>
      </c>
      <c r="J749">
        <v>0</v>
      </c>
      <c r="K749">
        <v>5148.1229999999996</v>
      </c>
      <c r="L749">
        <v>-2.8220000000000001</v>
      </c>
      <c r="N749">
        <v>286.00993499999998</v>
      </c>
      <c r="O749">
        <v>327.72245999999996</v>
      </c>
      <c r="P749">
        <v>501.7356959999999</v>
      </c>
      <c r="Q749">
        <v>604.11548399999992</v>
      </c>
      <c r="R749">
        <f t="shared" si="84"/>
        <v>1.0000482891165989</v>
      </c>
      <c r="S749">
        <v>1.0000966547781289</v>
      </c>
      <c r="T749">
        <v>41.712524999999971</v>
      </c>
      <c r="U749">
        <v>-102.37978800000002</v>
      </c>
      <c r="V749">
        <v>174.01323599999995</v>
      </c>
      <c r="W749">
        <v>-0.82805375218698896</v>
      </c>
      <c r="AE749">
        <f t="shared" si="85"/>
        <v>1.2609341877634561</v>
      </c>
    </row>
    <row r="750" spans="1:31" x14ac:dyDescent="0.25">
      <c r="A750">
        <v>769.87</v>
      </c>
      <c r="B750">
        <v>11.574999999999999</v>
      </c>
      <c r="C750">
        <v>52.807000000000002</v>
      </c>
      <c r="D750">
        <v>160.286</v>
      </c>
      <c r="E750">
        <v>250.887</v>
      </c>
      <c r="F750">
        <v>4.2999999999999997E-2</v>
      </c>
      <c r="G750">
        <v>1.4999999999999999E-2</v>
      </c>
      <c r="H750">
        <v>-6.6000000000000003E-2</v>
      </c>
      <c r="I750">
        <v>-5.0999999999999997E-2</v>
      </c>
      <c r="J750">
        <v>0</v>
      </c>
      <c r="K750">
        <v>4879.9920000000002</v>
      </c>
      <c r="L750">
        <v>-2.8820000000000001</v>
      </c>
      <c r="N750">
        <v>286.14862499999992</v>
      </c>
      <c r="O750">
        <v>327.58678499999996</v>
      </c>
      <c r="P750">
        <v>497.58452799999992</v>
      </c>
      <c r="Q750">
        <v>601.59447599999999</v>
      </c>
      <c r="R750">
        <f t="shared" si="84"/>
        <v>0.99972958094704611</v>
      </c>
      <c r="S750">
        <v>0.99985500101499292</v>
      </c>
      <c r="T750">
        <v>41.438160000000039</v>
      </c>
      <c r="U750">
        <v>-104.00994800000007</v>
      </c>
      <c r="V750">
        <v>169.99774299999996</v>
      </c>
      <c r="W750">
        <v>-0.85558846507744601</v>
      </c>
      <c r="AE750">
        <f t="shared" si="85"/>
        <v>1.2609341877634561</v>
      </c>
    </row>
    <row r="751" spans="1:31" x14ac:dyDescent="0.25">
      <c r="A751">
        <v>770.87</v>
      </c>
      <c r="B751">
        <v>11.811999999999999</v>
      </c>
      <c r="C751">
        <v>52.668999999999997</v>
      </c>
      <c r="D751">
        <v>156.72</v>
      </c>
      <c r="E751">
        <v>248.422</v>
      </c>
      <c r="F751">
        <v>4.1000000000000002E-2</v>
      </c>
      <c r="G751">
        <v>-1.4E-2</v>
      </c>
      <c r="H751">
        <v>-8.5999999999999993E-2</v>
      </c>
      <c r="I751">
        <v>-0.05</v>
      </c>
      <c r="J751">
        <v>0</v>
      </c>
      <c r="K751">
        <v>4703.4679999999998</v>
      </c>
      <c r="L751">
        <v>-2.9870000000000001</v>
      </c>
      <c r="N751">
        <v>286.38680999999997</v>
      </c>
      <c r="O751">
        <v>327.44809499999991</v>
      </c>
      <c r="P751">
        <v>493.49075999999997</v>
      </c>
      <c r="Q751">
        <v>598.76465599999995</v>
      </c>
      <c r="R751">
        <f t="shared" si="84"/>
        <v>0.99946880945712335</v>
      </c>
      <c r="S751">
        <v>0.99965200579990332</v>
      </c>
      <c r="T751">
        <v>41.061284999999941</v>
      </c>
      <c r="U751">
        <v>-105.27389599999998</v>
      </c>
      <c r="V751">
        <v>166.04266500000006</v>
      </c>
      <c r="W751">
        <v>-0.88131072215686179</v>
      </c>
      <c r="AE751">
        <f t="shared" si="85"/>
        <v>1.2609341877634561</v>
      </c>
    </row>
    <row r="752" spans="1:31" x14ac:dyDescent="0.25">
      <c r="A752">
        <v>771.87</v>
      </c>
      <c r="B752">
        <v>11.959</v>
      </c>
      <c r="C752">
        <v>52.567999999999998</v>
      </c>
      <c r="D752">
        <v>153.345</v>
      </c>
      <c r="E752">
        <v>246.44499999999999</v>
      </c>
      <c r="F752">
        <v>0.04</v>
      </c>
      <c r="G752">
        <v>-4.1000000000000002E-2</v>
      </c>
      <c r="H752">
        <v>-0.108</v>
      </c>
      <c r="I752">
        <v>-4.5999999999999999E-2</v>
      </c>
      <c r="J752">
        <v>0</v>
      </c>
      <c r="K752">
        <v>4519.6809999999996</v>
      </c>
      <c r="L752">
        <v>-3.008</v>
      </c>
      <c r="N752">
        <v>286.53454499999992</v>
      </c>
      <c r="O752">
        <v>327.34658999999994</v>
      </c>
      <c r="P752">
        <v>489.61625999999995</v>
      </c>
      <c r="Q752">
        <v>596.49505999999997</v>
      </c>
      <c r="R752">
        <f t="shared" si="84"/>
        <v>0.99921769364496815</v>
      </c>
      <c r="S752">
        <v>0.99940069982794288</v>
      </c>
      <c r="T752">
        <v>40.812045000000012</v>
      </c>
      <c r="U752">
        <v>-106.87880000000001</v>
      </c>
      <c r="V752">
        <v>162.26967000000002</v>
      </c>
      <c r="W752">
        <v>-0.91015680872463722</v>
      </c>
      <c r="AE752">
        <f t="shared" si="85"/>
        <v>1.2609341877634561</v>
      </c>
    </row>
    <row r="753" spans="1:31" x14ac:dyDescent="0.25">
      <c r="A753">
        <v>772.87</v>
      </c>
      <c r="B753">
        <v>12.098000000000001</v>
      </c>
      <c r="C753">
        <v>52.582000000000001</v>
      </c>
      <c r="D753">
        <v>150.304</v>
      </c>
      <c r="E753">
        <v>244.369</v>
      </c>
      <c r="F753">
        <v>3.9E-2</v>
      </c>
      <c r="G753">
        <v>-5.3999999999999999E-2</v>
      </c>
      <c r="H753">
        <v>-0.13500000000000001</v>
      </c>
      <c r="I753">
        <v>-5.0999999999999997E-2</v>
      </c>
      <c r="J753">
        <v>0</v>
      </c>
      <c r="K753">
        <v>4304.1909999999998</v>
      </c>
      <c r="L753">
        <v>-2.5310000000000001</v>
      </c>
      <c r="N753">
        <v>286.67423999999994</v>
      </c>
      <c r="O753">
        <v>327.36065999999994</v>
      </c>
      <c r="P753">
        <v>486.12519199999991</v>
      </c>
      <c r="Q753">
        <v>594.11181199999999</v>
      </c>
      <c r="R753">
        <f t="shared" si="84"/>
        <v>0.99910178773215885</v>
      </c>
      <c r="S753">
        <v>0.99918800568396016</v>
      </c>
      <c r="T753">
        <v>40.686419999999998</v>
      </c>
      <c r="U753">
        <v>-107.98662000000007</v>
      </c>
      <c r="V753">
        <v>158.76453199999997</v>
      </c>
      <c r="W753">
        <v>-0.93643736499031216</v>
      </c>
      <c r="AE753">
        <f t="shared" si="85"/>
        <v>1.2609341877634561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21.01.22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Hobina Rajakaruna</dc:creator>
  <cp:keywords/>
  <dc:description/>
  <cp:lastModifiedBy>Bupe Chapula</cp:lastModifiedBy>
  <cp:revision/>
  <dcterms:created xsi:type="dcterms:W3CDTF">2022-01-25T17:03:20Z</dcterms:created>
  <dcterms:modified xsi:type="dcterms:W3CDTF">2025-05-01T09:51:54Z</dcterms:modified>
  <cp:category/>
  <cp:contentStatus/>
</cp:coreProperties>
</file>